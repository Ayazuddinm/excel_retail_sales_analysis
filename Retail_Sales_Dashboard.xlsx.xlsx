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nerdy\Downloads\"/>
    </mc:Choice>
  </mc:AlternateContent>
  <xr:revisionPtr revIDLastSave="0" documentId="13_ncr:1_{9351572F-B75B-464D-B6B8-FA1536AA07C8}" xr6:coauthVersionLast="47" xr6:coauthVersionMax="47" xr10:uidLastSave="{00000000-0000-0000-0000-000000000000}"/>
  <bookViews>
    <workbookView xWindow="-110" yWindow="-110" windowWidth="19420" windowHeight="11020" activeTab="1" xr2:uid="{00000000-000D-0000-FFFF-FFFF00000000}"/>
  </bookViews>
  <sheets>
    <sheet name="Retail_Sales_Data" sheetId="1" r:id="rId1"/>
    <sheet name="Dashboard" sheetId="4" r:id="rId2"/>
    <sheet name="Executive_Summary" sheetId="5" r:id="rId3"/>
    <sheet name="Raw Data Backup" sheetId="3" r:id="rId4"/>
  </sheets>
  <definedNames>
    <definedName name="Slicer_Category">#N/A</definedName>
    <definedName name="Slicer_Months__OrderDat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4" l="1"/>
  <c r="C43" i="4"/>
  <c r="C42" i="4"/>
  <c r="C41" i="4"/>
</calcChain>
</file>

<file path=xl/sharedStrings.xml><?xml version="1.0" encoding="utf-8"?>
<sst xmlns="http://schemas.openxmlformats.org/spreadsheetml/2006/main" count="9074" uniqueCount="1393">
  <si>
    <t>OrderID</t>
  </si>
  <si>
    <t>OrderDate</t>
  </si>
  <si>
    <t>Region</t>
  </si>
  <si>
    <t>Category</t>
  </si>
  <si>
    <t>Product</t>
  </si>
  <si>
    <t>UnitsSold</t>
  </si>
  <si>
    <t>UnitPrice</t>
  </si>
  <si>
    <t>Revenue</t>
  </si>
  <si>
    <t>CustomerSatisfaction</t>
  </si>
  <si>
    <t>ORD10002</t>
  </si>
  <si>
    <t>2025-08-02</t>
  </si>
  <si>
    <t>South</t>
  </si>
  <si>
    <t>Furniture</t>
  </si>
  <si>
    <t>Desk</t>
  </si>
  <si>
    <t>ORD10003</t>
  </si>
  <si>
    <t>2025-01-18</t>
  </si>
  <si>
    <t>West</t>
  </si>
  <si>
    <t>Chair</t>
  </si>
  <si>
    <t>ORD10004</t>
  </si>
  <si>
    <t>Electronics</t>
  </si>
  <si>
    <t>Headphones</t>
  </si>
  <si>
    <t>ORD10005</t>
  </si>
  <si>
    <t>2025-11-09</t>
  </si>
  <si>
    <t>East</t>
  </si>
  <si>
    <t>Office Supplies</t>
  </si>
  <si>
    <t>Pen</t>
  </si>
  <si>
    <t>ORD10006</t>
  </si>
  <si>
    <t>2025-08-07</t>
  </si>
  <si>
    <t>Laptop</t>
  </si>
  <si>
    <t>ORD10007</t>
  </si>
  <si>
    <t>2025-10-31</t>
  </si>
  <si>
    <t>Tablet</t>
  </si>
  <si>
    <t>ORD10008</t>
  </si>
  <si>
    <t>2025-07-07</t>
  </si>
  <si>
    <t>ORD10009</t>
  </si>
  <si>
    <t>2025-05-25</t>
  </si>
  <si>
    <t>ORD10010</t>
  </si>
  <si>
    <t>2025-05-14</t>
  </si>
  <si>
    <t>North</t>
  </si>
  <si>
    <t>ORD10011</t>
  </si>
  <si>
    <t>2025-11-15</t>
  </si>
  <si>
    <t>ORD10012</t>
  </si>
  <si>
    <t>ORD10013</t>
  </si>
  <si>
    <t>2025-12-11</t>
  </si>
  <si>
    <t>Notebook</t>
  </si>
  <si>
    <t>ORD10014</t>
  </si>
  <si>
    <t>2025-08-20</t>
  </si>
  <si>
    <t>ORD10015</t>
  </si>
  <si>
    <t>2025-01-16</t>
  </si>
  <si>
    <t>ORD10016</t>
  </si>
  <si>
    <t>2025-02-01</t>
  </si>
  <si>
    <t>ORD10017</t>
  </si>
  <si>
    <t>2025-03-31</t>
  </si>
  <si>
    <t>ORD10018</t>
  </si>
  <si>
    <t>2025-04-17</t>
  </si>
  <si>
    <t>ORD10019</t>
  </si>
  <si>
    <t>2025-03-27</t>
  </si>
  <si>
    <t>ORD10020</t>
  </si>
  <si>
    <t>2025-12-24</t>
  </si>
  <si>
    <t>ORD10021</t>
  </si>
  <si>
    <t>2025-01-12</t>
  </si>
  <si>
    <t>ORD10022</t>
  </si>
  <si>
    <t>2025-09-26</t>
  </si>
  <si>
    <t>ORD10023</t>
  </si>
  <si>
    <t>2025-05-10</t>
  </si>
  <si>
    <t>ORD10024</t>
  </si>
  <si>
    <t>2025-11-17</t>
  </si>
  <si>
    <t>ORD10025</t>
  </si>
  <si>
    <t>2025-09-22</t>
  </si>
  <si>
    <t>Paper</t>
  </si>
  <si>
    <t>ORD10026</t>
  </si>
  <si>
    <t>2025-03-13</t>
  </si>
  <si>
    <t>ORD10027</t>
  </si>
  <si>
    <t>2025-03-06</t>
  </si>
  <si>
    <t>ORD10028</t>
  </si>
  <si>
    <t>ORD10029</t>
  </si>
  <si>
    <t>2025-02-05</t>
  </si>
  <si>
    <t>ORD10030</t>
  </si>
  <si>
    <t>2025-05-31</t>
  </si>
  <si>
    <t>ORD10031</t>
  </si>
  <si>
    <t>2025-07-22</t>
  </si>
  <si>
    <t>ORD10032</t>
  </si>
  <si>
    <t>2025-09-16</t>
  </si>
  <si>
    <t>ORD10033</t>
  </si>
  <si>
    <t>2025-04-23</t>
  </si>
  <si>
    <t>ORD10034</t>
  </si>
  <si>
    <t>ORD10035</t>
  </si>
  <si>
    <t>2025-01-08</t>
  </si>
  <si>
    <t>ORD10036</t>
  </si>
  <si>
    <t>2025-09-11</t>
  </si>
  <si>
    <t>Cabinet</t>
  </si>
  <si>
    <t>ORD10037</t>
  </si>
  <si>
    <t>ORD10038</t>
  </si>
  <si>
    <t>2025-09-12</t>
  </si>
  <si>
    <t>ORD10039</t>
  </si>
  <si>
    <t>ORD10040</t>
  </si>
  <si>
    <t>2025-10-07</t>
  </si>
  <si>
    <t>ORD10041</t>
  </si>
  <si>
    <t>ORD10042</t>
  </si>
  <si>
    <t>2025-12-31</t>
  </si>
  <si>
    <t>ORD10043</t>
  </si>
  <si>
    <t>2025-10-08</t>
  </si>
  <si>
    <t>ORD10044</t>
  </si>
  <si>
    <t>2025-07-27</t>
  </si>
  <si>
    <t>ORD10045</t>
  </si>
  <si>
    <t>2025-03-19</t>
  </si>
  <si>
    <t>ORD10046</t>
  </si>
  <si>
    <t>2025-10-30</t>
  </si>
  <si>
    <t>ORD10047</t>
  </si>
  <si>
    <t>2025-12-25</t>
  </si>
  <si>
    <t>ORD10048</t>
  </si>
  <si>
    <t>ORD10049</t>
  </si>
  <si>
    <t>2025-02-21</t>
  </si>
  <si>
    <t>ORD10050</t>
  </si>
  <si>
    <t>2025-02-18</t>
  </si>
  <si>
    <t>ORD10051</t>
  </si>
  <si>
    <t>2025-07-14</t>
  </si>
  <si>
    <t>ORD10052</t>
  </si>
  <si>
    <t>2025-02-14</t>
  </si>
  <si>
    <t>ORD10053</t>
  </si>
  <si>
    <t>2025-10-23</t>
  </si>
  <si>
    <t>ORD10054</t>
  </si>
  <si>
    <t>2025-10-14</t>
  </si>
  <si>
    <t>ORD10055</t>
  </si>
  <si>
    <t>2025-09-04</t>
  </si>
  <si>
    <t>ORD10056</t>
  </si>
  <si>
    <t>2025-10-21</t>
  </si>
  <si>
    <t>ORD10057</t>
  </si>
  <si>
    <t>2025-05-16</t>
  </si>
  <si>
    <t>ORD10058</t>
  </si>
  <si>
    <t>2025-04-07</t>
  </si>
  <si>
    <t>ORD10059</t>
  </si>
  <si>
    <t>2025-08-09</t>
  </si>
  <si>
    <t>ORD10060</t>
  </si>
  <si>
    <t>2025-11-06</t>
  </si>
  <si>
    <t>ORD10061</t>
  </si>
  <si>
    <t>2025-05-15</t>
  </si>
  <si>
    <t>ORD10062</t>
  </si>
  <si>
    <t>2025-03-22</t>
  </si>
  <si>
    <t>ORD10063</t>
  </si>
  <si>
    <t>2025-07-18</t>
  </si>
  <si>
    <t>ORD10064</t>
  </si>
  <si>
    <t>2025-03-18</t>
  </si>
  <si>
    <t>ORD10065</t>
  </si>
  <si>
    <t>ORD10066</t>
  </si>
  <si>
    <t>2025-04-01</t>
  </si>
  <si>
    <t>ORD10067</t>
  </si>
  <si>
    <t>2025-11-03</t>
  </si>
  <si>
    <t>ORD10068</t>
  </si>
  <si>
    <t>2025-12-05</t>
  </si>
  <si>
    <t>ORD10069</t>
  </si>
  <si>
    <t>2025-11-01</t>
  </si>
  <si>
    <t>ORD10070</t>
  </si>
  <si>
    <t>2025-03-04</t>
  </si>
  <si>
    <t>ORD10071</t>
  </si>
  <si>
    <t>2025-07-21</t>
  </si>
  <si>
    <t>ORD10072</t>
  </si>
  <si>
    <t>2025-06-10</t>
  </si>
  <si>
    <t>ORD10073</t>
  </si>
  <si>
    <t>2025-02-13</t>
  </si>
  <si>
    <t>ORD10074</t>
  </si>
  <si>
    <t>2025-11-13</t>
  </si>
  <si>
    <t>ORD10075</t>
  </si>
  <si>
    <t>ORD10076</t>
  </si>
  <si>
    <t>ORD10077</t>
  </si>
  <si>
    <t>2025-04-05</t>
  </si>
  <si>
    <t>ORD10078</t>
  </si>
  <si>
    <t>2025-09-08</t>
  </si>
  <si>
    <t>ORD10079</t>
  </si>
  <si>
    <t>2025-06-27</t>
  </si>
  <si>
    <t>ORD10080</t>
  </si>
  <si>
    <t>2025-02-25</t>
  </si>
  <si>
    <t>ORD10081</t>
  </si>
  <si>
    <t>2025-05-06</t>
  </si>
  <si>
    <t>ORD10082</t>
  </si>
  <si>
    <t>2025-11-16</t>
  </si>
  <si>
    <t>ORD10083</t>
  </si>
  <si>
    <t>2025-06-04</t>
  </si>
  <si>
    <t>ORD10084</t>
  </si>
  <si>
    <t>2025-11-04</t>
  </si>
  <si>
    <t>ORD10085</t>
  </si>
  <si>
    <t>2025-06-02</t>
  </si>
  <si>
    <t>ORD10086</t>
  </si>
  <si>
    <t>ORD10087</t>
  </si>
  <si>
    <t>2025-08-21</t>
  </si>
  <si>
    <t>ORD10088</t>
  </si>
  <si>
    <t>2025-06-11</t>
  </si>
  <si>
    <t>ORD10089</t>
  </si>
  <si>
    <t>2025-01-10</t>
  </si>
  <si>
    <t>ORD10090</t>
  </si>
  <si>
    <t>2025-01-11</t>
  </si>
  <si>
    <t>ORD10091</t>
  </si>
  <si>
    <t>2025-07-11</t>
  </si>
  <si>
    <t>ORD10092</t>
  </si>
  <si>
    <t>ORD10093</t>
  </si>
  <si>
    <t>ORD10094</t>
  </si>
  <si>
    <t>2025-09-03</t>
  </si>
  <si>
    <t>ORD10095</t>
  </si>
  <si>
    <t>2025-12-22</t>
  </si>
  <si>
    <t>ORD10096</t>
  </si>
  <si>
    <t>ORD10097</t>
  </si>
  <si>
    <t>2025-09-10</t>
  </si>
  <si>
    <t>ORD10098</t>
  </si>
  <si>
    <t>2025-03-14</t>
  </si>
  <si>
    <t>ORD10099</t>
  </si>
  <si>
    <t>2025-11-20</t>
  </si>
  <si>
    <t>ORD10100</t>
  </si>
  <si>
    <t>2025-01-06</t>
  </si>
  <si>
    <t>ORD10101</t>
  </si>
  <si>
    <t>ORD10102</t>
  </si>
  <si>
    <t>2025-06-30</t>
  </si>
  <si>
    <t>ORD10103</t>
  </si>
  <si>
    <t>2025-07-19</t>
  </si>
  <si>
    <t>ORD10104</t>
  </si>
  <si>
    <t>2025-02-19</t>
  </si>
  <si>
    <t>ORD10105</t>
  </si>
  <si>
    <t>2025-09-13</t>
  </si>
  <si>
    <t>ORD10106</t>
  </si>
  <si>
    <t>ORD10107</t>
  </si>
  <si>
    <t>2025-04-24</t>
  </si>
  <si>
    <t>ORD10108</t>
  </si>
  <si>
    <t>2025-06-05</t>
  </si>
  <si>
    <t>ORD10109</t>
  </si>
  <si>
    <t>2025-12-28</t>
  </si>
  <si>
    <t>ORD10110</t>
  </si>
  <si>
    <t>2025-12-17</t>
  </si>
  <si>
    <t>ORD10111</t>
  </si>
  <si>
    <t>2025-06-19</t>
  </si>
  <si>
    <t>ORD10112</t>
  </si>
  <si>
    <t>2025-10-22</t>
  </si>
  <si>
    <t>ORD10113</t>
  </si>
  <si>
    <t>2025-06-12</t>
  </si>
  <si>
    <t>ORD10114</t>
  </si>
  <si>
    <t>2025-11-12</t>
  </si>
  <si>
    <t>ORD10115</t>
  </si>
  <si>
    <t>2025-04-20</t>
  </si>
  <si>
    <t>ORD10116</t>
  </si>
  <si>
    <t>2025-10-02</t>
  </si>
  <si>
    <t>ORD10117</t>
  </si>
  <si>
    <t>2025-07-10</t>
  </si>
  <si>
    <t>ORD10118</t>
  </si>
  <si>
    <t>2025-09-20</t>
  </si>
  <si>
    <t>ORD10119</t>
  </si>
  <si>
    <t>ORD10120</t>
  </si>
  <si>
    <t>2025-11-10</t>
  </si>
  <si>
    <t>ORD10121</t>
  </si>
  <si>
    <t>ORD10122</t>
  </si>
  <si>
    <t>ORD10123</t>
  </si>
  <si>
    <t>2025-01-04</t>
  </si>
  <si>
    <t>ORD10124</t>
  </si>
  <si>
    <t>ORD10125</t>
  </si>
  <si>
    <t>ORD10126</t>
  </si>
  <si>
    <t>2025-04-25</t>
  </si>
  <si>
    <t>ORD10127</t>
  </si>
  <si>
    <t>ORD10128</t>
  </si>
  <si>
    <t>2025-10-24</t>
  </si>
  <si>
    <t>ORD10129</t>
  </si>
  <si>
    <t>2025-09-19</t>
  </si>
  <si>
    <t>ORD10130</t>
  </si>
  <si>
    <t>2025-01-22</t>
  </si>
  <si>
    <t>ORD10131</t>
  </si>
  <si>
    <t>ORD10132</t>
  </si>
  <si>
    <t>2025-11-18</t>
  </si>
  <si>
    <t>ORD10133</t>
  </si>
  <si>
    <t>2025-01-14</t>
  </si>
  <si>
    <t>ORD10134</t>
  </si>
  <si>
    <t>2025-08-23</t>
  </si>
  <si>
    <t>ORD10135</t>
  </si>
  <si>
    <t>ORD10136</t>
  </si>
  <si>
    <t>ORD10137</t>
  </si>
  <si>
    <t>ORD10138</t>
  </si>
  <si>
    <t>ORD10139</t>
  </si>
  <si>
    <t>2025-01-05</t>
  </si>
  <si>
    <t>ORD10140</t>
  </si>
  <si>
    <t>2025-09-21</t>
  </si>
  <si>
    <t>ORD10141</t>
  </si>
  <si>
    <t>ORD10142</t>
  </si>
  <si>
    <t>2025-08-14</t>
  </si>
  <si>
    <t>ORD10143</t>
  </si>
  <si>
    <t>2025-05-02</t>
  </si>
  <si>
    <t>ORD10144</t>
  </si>
  <si>
    <t>2025-08-06</t>
  </si>
  <si>
    <t>ORD10145</t>
  </si>
  <si>
    <t>ORD10146</t>
  </si>
  <si>
    <t>2025-08-01</t>
  </si>
  <si>
    <t>ORD10147</t>
  </si>
  <si>
    <t>2025-12-02</t>
  </si>
  <si>
    <t>ORD10148</t>
  </si>
  <si>
    <t>2025-06-29</t>
  </si>
  <si>
    <t>ORD10149</t>
  </si>
  <si>
    <t>ORD10150</t>
  </si>
  <si>
    <t>2025-08-24</t>
  </si>
  <si>
    <t>ORD10151</t>
  </si>
  <si>
    <t>2025-12-08</t>
  </si>
  <si>
    <t>ORD10152</t>
  </si>
  <si>
    <t>2025-08-16</t>
  </si>
  <si>
    <t>ORD10153</t>
  </si>
  <si>
    <t>2025-06-25</t>
  </si>
  <si>
    <t>ORD10154</t>
  </si>
  <si>
    <t>ORD10155</t>
  </si>
  <si>
    <t>ORD10156</t>
  </si>
  <si>
    <t>2025-07-08</t>
  </si>
  <si>
    <t>ORD10157</t>
  </si>
  <si>
    <t>2025-09-15</t>
  </si>
  <si>
    <t>ORD10158</t>
  </si>
  <si>
    <t>2025-11-24</t>
  </si>
  <si>
    <t>ORD10159</t>
  </si>
  <si>
    <t>ORD10160</t>
  </si>
  <si>
    <t>2025-12-16</t>
  </si>
  <si>
    <t>ORD10161</t>
  </si>
  <si>
    <t>2025-04-08</t>
  </si>
  <si>
    <t>ORD10162</t>
  </si>
  <si>
    <t>2025-11-27</t>
  </si>
  <si>
    <t>ORD10163</t>
  </si>
  <si>
    <t>ORD10164</t>
  </si>
  <si>
    <t>2025-05-18</t>
  </si>
  <si>
    <t>ORD10165</t>
  </si>
  <si>
    <t>2025-07-01</t>
  </si>
  <si>
    <t>ORD10166</t>
  </si>
  <si>
    <t>2025-06-21</t>
  </si>
  <si>
    <t>ORD10167</t>
  </si>
  <si>
    <t>2025-06-28</t>
  </si>
  <si>
    <t>ORD10168</t>
  </si>
  <si>
    <t>ORD10169</t>
  </si>
  <si>
    <t>2025-11-19</t>
  </si>
  <si>
    <t>ORD10170</t>
  </si>
  <si>
    <t>2025-03-17</t>
  </si>
  <si>
    <t>ORD10171</t>
  </si>
  <si>
    <t>ORD10172</t>
  </si>
  <si>
    <t>2025-05-19</t>
  </si>
  <si>
    <t>ORD10173</t>
  </si>
  <si>
    <t>2025-05-11</t>
  </si>
  <si>
    <t>ORD10174</t>
  </si>
  <si>
    <t>2025-01-29</t>
  </si>
  <si>
    <t>ORD10175</t>
  </si>
  <si>
    <t>ORD10176</t>
  </si>
  <si>
    <t>ORD10177</t>
  </si>
  <si>
    <t>ORD10178</t>
  </si>
  <si>
    <t>ORD10179</t>
  </si>
  <si>
    <t>ORD10180</t>
  </si>
  <si>
    <t>2025-07-23</t>
  </si>
  <si>
    <t>ORD10181</t>
  </si>
  <si>
    <t>ORD10182</t>
  </si>
  <si>
    <t>ORD10183</t>
  </si>
  <si>
    <t>ORD10184</t>
  </si>
  <si>
    <t>2025-03-25</t>
  </si>
  <si>
    <t>ORD10185</t>
  </si>
  <si>
    <t>2025-12-03</t>
  </si>
  <si>
    <t>ORD10186</t>
  </si>
  <si>
    <t>2025-02-10</t>
  </si>
  <si>
    <t>ORD10187</t>
  </si>
  <si>
    <t>ORD10188</t>
  </si>
  <si>
    <t>ORD10189</t>
  </si>
  <si>
    <t>2025-02-24</t>
  </si>
  <si>
    <t>ORD10190</t>
  </si>
  <si>
    <t>ORD10191</t>
  </si>
  <si>
    <t>2025-07-16</t>
  </si>
  <si>
    <t>ORD10192</t>
  </si>
  <si>
    <t>ORD10193</t>
  </si>
  <si>
    <t>ORD10194</t>
  </si>
  <si>
    <t>2025-02-26</t>
  </si>
  <si>
    <t>ORD10195</t>
  </si>
  <si>
    <t>2025-04-19</t>
  </si>
  <si>
    <t>ORD10196</t>
  </si>
  <si>
    <t>2025-10-16</t>
  </si>
  <si>
    <t>ORD10197</t>
  </si>
  <si>
    <t>ORD10198</t>
  </si>
  <si>
    <t>ORD10199</t>
  </si>
  <si>
    <t>2025-04-06</t>
  </si>
  <si>
    <t>ORD10200</t>
  </si>
  <si>
    <t>2025-04-16</t>
  </si>
  <si>
    <t>ORD10201</t>
  </si>
  <si>
    <t>2025-10-01</t>
  </si>
  <si>
    <t>ORD10202</t>
  </si>
  <si>
    <t>2025-06-09</t>
  </si>
  <si>
    <t>ORD10203</t>
  </si>
  <si>
    <t>2025-03-15</t>
  </si>
  <si>
    <t>ORD10204</t>
  </si>
  <si>
    <t>2025-10-26</t>
  </si>
  <si>
    <t>ORD10205</t>
  </si>
  <si>
    <t>ORD10206</t>
  </si>
  <si>
    <t>2025-09-29</t>
  </si>
  <si>
    <t>ORD10207</t>
  </si>
  <si>
    <t>2025-08-27</t>
  </si>
  <si>
    <t>ORD10208</t>
  </si>
  <si>
    <t>2025-07-05</t>
  </si>
  <si>
    <t>ORD10209</t>
  </si>
  <si>
    <t>2025-09-02</t>
  </si>
  <si>
    <t>ORD10210</t>
  </si>
  <si>
    <t>ORD10211</t>
  </si>
  <si>
    <t>2025-03-21</t>
  </si>
  <si>
    <t>ORD10212</t>
  </si>
  <si>
    <t>2025-07-06</t>
  </si>
  <si>
    <t>ORD10213</t>
  </si>
  <si>
    <t>ORD10214</t>
  </si>
  <si>
    <t>2025-01-30</t>
  </si>
  <si>
    <t>ORD10215</t>
  </si>
  <si>
    <t>ORD10216</t>
  </si>
  <si>
    <t>2025-12-27</t>
  </si>
  <si>
    <t>ORD10217</t>
  </si>
  <si>
    <t>ORD10218</t>
  </si>
  <si>
    <t>2025-08-17</t>
  </si>
  <si>
    <t>ORD10219</t>
  </si>
  <si>
    <t>2025-05-29</t>
  </si>
  <si>
    <t>ORD10220</t>
  </si>
  <si>
    <t>ORD10221</t>
  </si>
  <si>
    <t>ORD10222</t>
  </si>
  <si>
    <t>ORD10223</t>
  </si>
  <si>
    <t>2025-02-28</t>
  </si>
  <si>
    <t>ORD10224</t>
  </si>
  <si>
    <t>2025-05-08</t>
  </si>
  <si>
    <t>ORD10225</t>
  </si>
  <si>
    <t>ORD10226</t>
  </si>
  <si>
    <t>2025-05-27</t>
  </si>
  <si>
    <t>ORD10227</t>
  </si>
  <si>
    <t>ORD10228</t>
  </si>
  <si>
    <t>ORD10229</t>
  </si>
  <si>
    <t>ORD10230</t>
  </si>
  <si>
    <t>ORD10231</t>
  </si>
  <si>
    <t>ORD10232</t>
  </si>
  <si>
    <t>2025-02-06</t>
  </si>
  <si>
    <t>ORD10233</t>
  </si>
  <si>
    <t>2025-06-17</t>
  </si>
  <si>
    <t>ORD10234</t>
  </si>
  <si>
    <t>ORD10235</t>
  </si>
  <si>
    <t>2025-11-28</t>
  </si>
  <si>
    <t>ORD10236</t>
  </si>
  <si>
    <t>ORD10237</t>
  </si>
  <si>
    <t>2025-09-01</t>
  </si>
  <si>
    <t>ORD10238</t>
  </si>
  <si>
    <t>2025-12-01</t>
  </si>
  <si>
    <t>ORD10239</t>
  </si>
  <si>
    <t>ORD10240</t>
  </si>
  <si>
    <t>ORD10241</t>
  </si>
  <si>
    <t>2025-01-17</t>
  </si>
  <si>
    <t>ORD10242</t>
  </si>
  <si>
    <t>2025-01-20</t>
  </si>
  <si>
    <t>ORD10243</t>
  </si>
  <si>
    <t>2025-09-24</t>
  </si>
  <si>
    <t>ORD10244</t>
  </si>
  <si>
    <t>ORD10245</t>
  </si>
  <si>
    <t>2025-06-20</t>
  </si>
  <si>
    <t>ORD10246</t>
  </si>
  <si>
    <t>2025-05-07</t>
  </si>
  <si>
    <t>ORD10247</t>
  </si>
  <si>
    <t>2025-06-16</t>
  </si>
  <si>
    <t>ORD10248</t>
  </si>
  <si>
    <t>2025-04-26</t>
  </si>
  <si>
    <t>ORD10249</t>
  </si>
  <si>
    <t>ORD10250</t>
  </si>
  <si>
    <t>2025-04-30</t>
  </si>
  <si>
    <t>ORD10251</t>
  </si>
  <si>
    <t>2025-04-21</t>
  </si>
  <si>
    <t>ORD10252</t>
  </si>
  <si>
    <t>ORD10253</t>
  </si>
  <si>
    <t>2025-03-07</t>
  </si>
  <si>
    <t>ORD10254</t>
  </si>
  <si>
    <t>2025-08-22</t>
  </si>
  <si>
    <t>ORD10255</t>
  </si>
  <si>
    <t>2025-08-28</t>
  </si>
  <si>
    <t>ORD10256</t>
  </si>
  <si>
    <t>ORD10257</t>
  </si>
  <si>
    <t>2025-09-14</t>
  </si>
  <si>
    <t>ORD10258</t>
  </si>
  <si>
    <t>ORD10259</t>
  </si>
  <si>
    <t>ORD10260</t>
  </si>
  <si>
    <t>ORD10261</t>
  </si>
  <si>
    <t>ORD10262</t>
  </si>
  <si>
    <t>2025-12-09</t>
  </si>
  <si>
    <t>ORD10263</t>
  </si>
  <si>
    <t>2025-10-27</t>
  </si>
  <si>
    <t>ORD10264</t>
  </si>
  <si>
    <t>ORD10265</t>
  </si>
  <si>
    <t>ORD10266</t>
  </si>
  <si>
    <t>2025-01-24</t>
  </si>
  <si>
    <t>ORD10267</t>
  </si>
  <si>
    <t>ORD10268</t>
  </si>
  <si>
    <t>2025-03-09</t>
  </si>
  <si>
    <t>ORD10269</t>
  </si>
  <si>
    <t>2025-07-30</t>
  </si>
  <si>
    <t>ORD10270</t>
  </si>
  <si>
    <t>ORD10271</t>
  </si>
  <si>
    <t>2025-06-15</t>
  </si>
  <si>
    <t>ORD10272</t>
  </si>
  <si>
    <t>2025-02-12</t>
  </si>
  <si>
    <t>ORD10273</t>
  </si>
  <si>
    <t>ORD10274</t>
  </si>
  <si>
    <t>2025-03-24</t>
  </si>
  <si>
    <t>ORD10275</t>
  </si>
  <si>
    <t>2025-04-11</t>
  </si>
  <si>
    <t>ORD10276</t>
  </si>
  <si>
    <t>ORD10277</t>
  </si>
  <si>
    <t>ORD10278</t>
  </si>
  <si>
    <t>ORD10279</t>
  </si>
  <si>
    <t>ORD10280</t>
  </si>
  <si>
    <t>ORD10281</t>
  </si>
  <si>
    <t>2025-11-14</t>
  </si>
  <si>
    <t>ORD10282</t>
  </si>
  <si>
    <t>2025-01-03</t>
  </si>
  <si>
    <t>ORD10283</t>
  </si>
  <si>
    <t>ORD10284</t>
  </si>
  <si>
    <t>ORD10285</t>
  </si>
  <si>
    <t>2025-07-12</t>
  </si>
  <si>
    <t>ORD10286</t>
  </si>
  <si>
    <t>2025-12-07</t>
  </si>
  <si>
    <t>ORD10287</t>
  </si>
  <si>
    <t>ORD10288</t>
  </si>
  <si>
    <t>ORD10289</t>
  </si>
  <si>
    <t>2025-10-13</t>
  </si>
  <si>
    <t>ORD10290</t>
  </si>
  <si>
    <t>ORD10291</t>
  </si>
  <si>
    <t>ORD10292</t>
  </si>
  <si>
    <t>ORD10293</t>
  </si>
  <si>
    <t>ORD10294</t>
  </si>
  <si>
    <t>2025-01-27</t>
  </si>
  <si>
    <t>ORD10295</t>
  </si>
  <si>
    <t>2025-02-15</t>
  </si>
  <si>
    <t>ORD10296</t>
  </si>
  <si>
    <t>ORD10297</t>
  </si>
  <si>
    <t>2025-09-09</t>
  </si>
  <si>
    <t>ORD10298</t>
  </si>
  <si>
    <t>ORD10299</t>
  </si>
  <si>
    <t>ORD10300</t>
  </si>
  <si>
    <t>2025-05-01</t>
  </si>
  <si>
    <t>ORD10301</t>
  </si>
  <si>
    <t>2025-02-20</t>
  </si>
  <si>
    <t>ORD10302</t>
  </si>
  <si>
    <t>ORD10303</t>
  </si>
  <si>
    <t>ORD10304</t>
  </si>
  <si>
    <t>ORD10305</t>
  </si>
  <si>
    <t>2025-03-12</t>
  </si>
  <si>
    <t>ORD10306</t>
  </si>
  <si>
    <t>2025-04-10</t>
  </si>
  <si>
    <t>ORD10307</t>
  </si>
  <si>
    <t>2025-10-28</t>
  </si>
  <si>
    <t>ORD10308</t>
  </si>
  <si>
    <t>2025-08-31</t>
  </si>
  <si>
    <t>ORD10309</t>
  </si>
  <si>
    <t>ORD10310</t>
  </si>
  <si>
    <t>ORD10311</t>
  </si>
  <si>
    <t>2025-10-09</t>
  </si>
  <si>
    <t>ORD10312</t>
  </si>
  <si>
    <t>ORD10313</t>
  </si>
  <si>
    <t>2025-03-29</t>
  </si>
  <si>
    <t>ORD10314</t>
  </si>
  <si>
    <t>ORD10315</t>
  </si>
  <si>
    <t>2025-10-06</t>
  </si>
  <si>
    <t>ORD10316</t>
  </si>
  <si>
    <t>ORD10317</t>
  </si>
  <si>
    <t>2025-04-12</t>
  </si>
  <si>
    <t>ORD10318</t>
  </si>
  <si>
    <t>ORD10319</t>
  </si>
  <si>
    <t>ORD10320</t>
  </si>
  <si>
    <t>ORD10321</t>
  </si>
  <si>
    <t>ORD10322</t>
  </si>
  <si>
    <t>ORD10323</t>
  </si>
  <si>
    <t>2025-02-07</t>
  </si>
  <si>
    <t>ORD10324</t>
  </si>
  <si>
    <t>2025-05-09</t>
  </si>
  <si>
    <t>ORD10325</t>
  </si>
  <si>
    <t>ORD10326</t>
  </si>
  <si>
    <t>ORD10327</t>
  </si>
  <si>
    <t>2025-10-03</t>
  </si>
  <si>
    <t>ORD10328</t>
  </si>
  <si>
    <t>ORD10329</t>
  </si>
  <si>
    <t>2025-05-17</t>
  </si>
  <si>
    <t>ORD10330</t>
  </si>
  <si>
    <t>2025-12-06</t>
  </si>
  <si>
    <t>ORD10331</t>
  </si>
  <si>
    <t>2025-04-18</t>
  </si>
  <si>
    <t>ORD10332</t>
  </si>
  <si>
    <t>ORD10333</t>
  </si>
  <si>
    <t>2025-02-08</t>
  </si>
  <si>
    <t>ORD10334</t>
  </si>
  <si>
    <t>2025-01-21</t>
  </si>
  <si>
    <t>ORD10335</t>
  </si>
  <si>
    <t>2025-01-23</t>
  </si>
  <si>
    <t>ORD10336</t>
  </si>
  <si>
    <t>2025-07-29</t>
  </si>
  <si>
    <t>ORD10337</t>
  </si>
  <si>
    <t>ORD10338</t>
  </si>
  <si>
    <t>2025-11-08</t>
  </si>
  <si>
    <t>ORD10339</t>
  </si>
  <si>
    <t>2025-03-30</t>
  </si>
  <si>
    <t>ORD10340</t>
  </si>
  <si>
    <t>ORD10341</t>
  </si>
  <si>
    <t>ORD10342</t>
  </si>
  <si>
    <t>ORD10343</t>
  </si>
  <si>
    <t>ORD10344</t>
  </si>
  <si>
    <t>ORD10345</t>
  </si>
  <si>
    <t>2025-11-23</t>
  </si>
  <si>
    <t>ORD10346</t>
  </si>
  <si>
    <t>2025-05-03</t>
  </si>
  <si>
    <t>ORD10347</t>
  </si>
  <si>
    <t>ORD10348</t>
  </si>
  <si>
    <t>ORD10349</t>
  </si>
  <si>
    <t>ORD10350</t>
  </si>
  <si>
    <t>2025-05-22</t>
  </si>
  <si>
    <t>ORD10351</t>
  </si>
  <si>
    <t>2025-02-03</t>
  </si>
  <si>
    <t>ORD10352</t>
  </si>
  <si>
    <t>2025-06-01</t>
  </si>
  <si>
    <t>ORD10353</t>
  </si>
  <si>
    <t>ORD10354</t>
  </si>
  <si>
    <t>ORD10355</t>
  </si>
  <si>
    <t>2025-08-30</t>
  </si>
  <si>
    <t>ORD10356</t>
  </si>
  <si>
    <t>2025-02-27</t>
  </si>
  <si>
    <t>ORD10357</t>
  </si>
  <si>
    <t>ORD10358</t>
  </si>
  <si>
    <t>ORD10359</t>
  </si>
  <si>
    <t>ORD10360</t>
  </si>
  <si>
    <t>ORD10361</t>
  </si>
  <si>
    <t>ORD10362</t>
  </si>
  <si>
    <t>ORD10363</t>
  </si>
  <si>
    <t>ORD10364</t>
  </si>
  <si>
    <t>ORD10365</t>
  </si>
  <si>
    <t>2025-03-11</t>
  </si>
  <si>
    <t>ORD10366</t>
  </si>
  <si>
    <t>2025-11-22</t>
  </si>
  <si>
    <t>ORD10367</t>
  </si>
  <si>
    <t>2025-11-05</t>
  </si>
  <si>
    <t>ORD10368</t>
  </si>
  <si>
    <t>2025-09-27</t>
  </si>
  <si>
    <t>ORD10369</t>
  </si>
  <si>
    <t>ORD10370</t>
  </si>
  <si>
    <t>2025-08-08</t>
  </si>
  <si>
    <t>ORD10371</t>
  </si>
  <si>
    <t>2025-05-30</t>
  </si>
  <si>
    <t>ORD10372</t>
  </si>
  <si>
    <t>ORD10373</t>
  </si>
  <si>
    <t>2025-12-10</t>
  </si>
  <si>
    <t>ORD10374</t>
  </si>
  <si>
    <t>2025-07-26</t>
  </si>
  <si>
    <t>ORD10375</t>
  </si>
  <si>
    <t>2025-08-12</t>
  </si>
  <si>
    <t>ORD10376</t>
  </si>
  <si>
    <t>ORD10377</t>
  </si>
  <si>
    <t>ORD10378</t>
  </si>
  <si>
    <t>2025-11-26</t>
  </si>
  <si>
    <t>ORD10379</t>
  </si>
  <si>
    <t>2025-04-27</t>
  </si>
  <si>
    <t>ORD10380</t>
  </si>
  <si>
    <t>2025-04-29</t>
  </si>
  <si>
    <t>ORD10381</t>
  </si>
  <si>
    <t>2025-08-15</t>
  </si>
  <si>
    <t>ORD10382</t>
  </si>
  <si>
    <t>ORD10383</t>
  </si>
  <si>
    <t>2025-10-04</t>
  </si>
  <si>
    <t>ORD10384</t>
  </si>
  <si>
    <t>ORD10385</t>
  </si>
  <si>
    <t>ORD10386</t>
  </si>
  <si>
    <t>2025-10-12</t>
  </si>
  <si>
    <t>ORD10387</t>
  </si>
  <si>
    <t>ORD10388</t>
  </si>
  <si>
    <t>2025-12-14</t>
  </si>
  <si>
    <t>ORD10389</t>
  </si>
  <si>
    <t>ORD10390</t>
  </si>
  <si>
    <t>ORD10391</t>
  </si>
  <si>
    <t>ORD10392</t>
  </si>
  <si>
    <t>ORD10393</t>
  </si>
  <si>
    <t>ORD10394</t>
  </si>
  <si>
    <t>2025-08-26</t>
  </si>
  <si>
    <t>ORD10395</t>
  </si>
  <si>
    <t>ORD10396</t>
  </si>
  <si>
    <t>ORD10397</t>
  </si>
  <si>
    <t>ORD10398</t>
  </si>
  <si>
    <t>ORD10399</t>
  </si>
  <si>
    <t>2025-07-03</t>
  </si>
  <si>
    <t>ORD10400</t>
  </si>
  <si>
    <t>ORD10401</t>
  </si>
  <si>
    <t>ORD10402</t>
  </si>
  <si>
    <t>ORD10403</t>
  </si>
  <si>
    <t>ORD10404</t>
  </si>
  <si>
    <t>ORD10405</t>
  </si>
  <si>
    <t>ORD10406</t>
  </si>
  <si>
    <t>2025-01-31</t>
  </si>
  <si>
    <t>ORD10407</t>
  </si>
  <si>
    <t>ORD10408</t>
  </si>
  <si>
    <t>2025-01-15</t>
  </si>
  <si>
    <t>ORD10409</t>
  </si>
  <si>
    <t>ORD10410</t>
  </si>
  <si>
    <t>ORD10411</t>
  </si>
  <si>
    <t>ORD10412</t>
  </si>
  <si>
    <t>ORD10413</t>
  </si>
  <si>
    <t>2025-12-18</t>
  </si>
  <si>
    <t>ORD10414</t>
  </si>
  <si>
    <t>ORD10415</t>
  </si>
  <si>
    <t>ORD10416</t>
  </si>
  <si>
    <t>ORD10417</t>
  </si>
  <si>
    <t>ORD10418</t>
  </si>
  <si>
    <t>ORD10419</t>
  </si>
  <si>
    <t>ORD10420</t>
  </si>
  <si>
    <t>ORD10421</t>
  </si>
  <si>
    <t>ORD10422</t>
  </si>
  <si>
    <t>ORD10423</t>
  </si>
  <si>
    <t>ORD10424</t>
  </si>
  <si>
    <t>ORD10425</t>
  </si>
  <si>
    <t>ORD10426</t>
  </si>
  <si>
    <t>2025-10-11</t>
  </si>
  <si>
    <t>ORD10427</t>
  </si>
  <si>
    <t>2025-06-22</t>
  </si>
  <si>
    <t>ORD10428</t>
  </si>
  <si>
    <t>ORD10429</t>
  </si>
  <si>
    <t>2025-08-29</t>
  </si>
  <si>
    <t>ORD10430</t>
  </si>
  <si>
    <t>ORD10431</t>
  </si>
  <si>
    <t>ORD10432</t>
  </si>
  <si>
    <t>ORD10433</t>
  </si>
  <si>
    <t>2025-10-29</t>
  </si>
  <si>
    <t>ORD10434</t>
  </si>
  <si>
    <t>ORD10435</t>
  </si>
  <si>
    <t>ORD10436</t>
  </si>
  <si>
    <t>ORD10437</t>
  </si>
  <si>
    <t>ORD10438</t>
  </si>
  <si>
    <t>ORD10439</t>
  </si>
  <si>
    <t>ORD10440</t>
  </si>
  <si>
    <t>2025-06-24</t>
  </si>
  <si>
    <t>ORD10441</t>
  </si>
  <si>
    <t>2025-06-08</t>
  </si>
  <si>
    <t>ORD10442</t>
  </si>
  <si>
    <t>ORD10443</t>
  </si>
  <si>
    <t>2025-08-11</t>
  </si>
  <si>
    <t>ORD10444</t>
  </si>
  <si>
    <t>ORD10445</t>
  </si>
  <si>
    <t>ORD10446</t>
  </si>
  <si>
    <t>ORD10447</t>
  </si>
  <si>
    <t>ORD10448</t>
  </si>
  <si>
    <t>ORD10449</t>
  </si>
  <si>
    <t>2025-04-22</t>
  </si>
  <si>
    <t>ORD10450</t>
  </si>
  <si>
    <t>2025-03-10</t>
  </si>
  <si>
    <t>ORD10451</t>
  </si>
  <si>
    <t>ORD10452</t>
  </si>
  <si>
    <t>2025-11-02</t>
  </si>
  <si>
    <t>ORD10453</t>
  </si>
  <si>
    <t>ORD10454</t>
  </si>
  <si>
    <t>2025-06-23</t>
  </si>
  <si>
    <t>ORD10455</t>
  </si>
  <si>
    <t>ORD10456</t>
  </si>
  <si>
    <t>2025-10-20</t>
  </si>
  <si>
    <t>ORD10457</t>
  </si>
  <si>
    <t>ORD10458</t>
  </si>
  <si>
    <t>ORD10459</t>
  </si>
  <si>
    <t>ORD10460</t>
  </si>
  <si>
    <t>2025-02-22</t>
  </si>
  <si>
    <t>ORD10461</t>
  </si>
  <si>
    <t>ORD10462</t>
  </si>
  <si>
    <t>2025-07-09</t>
  </si>
  <si>
    <t>ORD10463</t>
  </si>
  <si>
    <t>2025-12-23</t>
  </si>
  <si>
    <t>ORD10464</t>
  </si>
  <si>
    <t>ORD10465</t>
  </si>
  <si>
    <t>ORD10466</t>
  </si>
  <si>
    <t>2025-04-15</t>
  </si>
  <si>
    <t>ORD10467</t>
  </si>
  <si>
    <t>ORD10468</t>
  </si>
  <si>
    <t>ORD10469</t>
  </si>
  <si>
    <t>2025-04-04</t>
  </si>
  <si>
    <t>ORD10470</t>
  </si>
  <si>
    <t>ORD10471</t>
  </si>
  <si>
    <t>2025-03-08</t>
  </si>
  <si>
    <t>ORD10472</t>
  </si>
  <si>
    <t>ORD10473</t>
  </si>
  <si>
    <t>ORD10474</t>
  </si>
  <si>
    <t>ORD10475</t>
  </si>
  <si>
    <t>2025-10-15</t>
  </si>
  <si>
    <t>ORD10476</t>
  </si>
  <si>
    <t>ORD10477</t>
  </si>
  <si>
    <t>ORD10478</t>
  </si>
  <si>
    <t>ORD10479</t>
  </si>
  <si>
    <t>ORD10480</t>
  </si>
  <si>
    <t>2025-02-11</t>
  </si>
  <si>
    <t>ORD10481</t>
  </si>
  <si>
    <t>ORD10482</t>
  </si>
  <si>
    <t>ORD10483</t>
  </si>
  <si>
    <t>2025-11-25</t>
  </si>
  <si>
    <t>ORD10484</t>
  </si>
  <si>
    <t>2025-12-12</t>
  </si>
  <si>
    <t>ORD10485</t>
  </si>
  <si>
    <t>ORD10486</t>
  </si>
  <si>
    <t>ORD10487</t>
  </si>
  <si>
    <t>ORD10488</t>
  </si>
  <si>
    <t>ORD10489</t>
  </si>
  <si>
    <t>ORD10490</t>
  </si>
  <si>
    <t>ORD10491</t>
  </si>
  <si>
    <t>ORD10492</t>
  </si>
  <si>
    <t>ORD10493</t>
  </si>
  <si>
    <t>2025-09-30</t>
  </si>
  <si>
    <t>ORD10494</t>
  </si>
  <si>
    <t>ORD10495</t>
  </si>
  <si>
    <t>ORD10496</t>
  </si>
  <si>
    <t>ORD10497</t>
  </si>
  <si>
    <t>ORD10498</t>
  </si>
  <si>
    <t>2025-04-03</t>
  </si>
  <si>
    <t>ORD10499</t>
  </si>
  <si>
    <t>2025-08-10</t>
  </si>
  <si>
    <t>ORD10500</t>
  </si>
  <si>
    <t>ORD10501</t>
  </si>
  <si>
    <t>2025-05-05</t>
  </si>
  <si>
    <t>ORD10502</t>
  </si>
  <si>
    <t>ORD10503</t>
  </si>
  <si>
    <t>ORD10504</t>
  </si>
  <si>
    <t>ORD10505</t>
  </si>
  <si>
    <t>ORD10506</t>
  </si>
  <si>
    <t>ORD10507</t>
  </si>
  <si>
    <t>2025-02-17</t>
  </si>
  <si>
    <t>ORD10508</t>
  </si>
  <si>
    <t>ORD10509</t>
  </si>
  <si>
    <t>2025-05-26</t>
  </si>
  <si>
    <t>ORD10510</t>
  </si>
  <si>
    <t>ORD10511</t>
  </si>
  <si>
    <t>2025-07-31</t>
  </si>
  <si>
    <t>ORD10512</t>
  </si>
  <si>
    <t>2025-03-16</t>
  </si>
  <si>
    <t>ORD10513</t>
  </si>
  <si>
    <t>ORD10514</t>
  </si>
  <si>
    <t>ORD10515</t>
  </si>
  <si>
    <t>ORD10516</t>
  </si>
  <si>
    <t>2025-04-02</t>
  </si>
  <si>
    <t>ORD10517</t>
  </si>
  <si>
    <t>ORD10518</t>
  </si>
  <si>
    <t>ORD10519</t>
  </si>
  <si>
    <t>ORD10520</t>
  </si>
  <si>
    <t>ORD10521</t>
  </si>
  <si>
    <t>2025-10-18</t>
  </si>
  <si>
    <t>ORD10522</t>
  </si>
  <si>
    <t>ORD10523</t>
  </si>
  <si>
    <t>ORD10524</t>
  </si>
  <si>
    <t>2025-03-20</t>
  </si>
  <si>
    <t>ORD10525</t>
  </si>
  <si>
    <t>ORD10526</t>
  </si>
  <si>
    <t>ORD10527</t>
  </si>
  <si>
    <t>2025-06-07</t>
  </si>
  <si>
    <t>ORD10528</t>
  </si>
  <si>
    <t>ORD10529</t>
  </si>
  <si>
    <t>ORD10530</t>
  </si>
  <si>
    <t>ORD10531</t>
  </si>
  <si>
    <t>ORD10532</t>
  </si>
  <si>
    <t>ORD10533</t>
  </si>
  <si>
    <t>ORD10534</t>
  </si>
  <si>
    <t>ORD10535</t>
  </si>
  <si>
    <t>ORD10536</t>
  </si>
  <si>
    <t>ORD10537</t>
  </si>
  <si>
    <t>ORD10538</t>
  </si>
  <si>
    <t>2025-07-20</t>
  </si>
  <si>
    <t>ORD10539</t>
  </si>
  <si>
    <t>2025-09-28</t>
  </si>
  <si>
    <t>ORD10540</t>
  </si>
  <si>
    <t>ORD10541</t>
  </si>
  <si>
    <t>ORD10542</t>
  </si>
  <si>
    <t>ORD10543</t>
  </si>
  <si>
    <t>2025-12-29</t>
  </si>
  <si>
    <t>ORD10544</t>
  </si>
  <si>
    <t>ORD10545</t>
  </si>
  <si>
    <t>ORD10546</t>
  </si>
  <si>
    <t>2025-07-04</t>
  </si>
  <si>
    <t>ORD10547</t>
  </si>
  <si>
    <t>ORD10548</t>
  </si>
  <si>
    <t>ORD10549</t>
  </si>
  <si>
    <t>ORD10550</t>
  </si>
  <si>
    <t>ORD10551</t>
  </si>
  <si>
    <t>ORD10552</t>
  </si>
  <si>
    <t>ORD10553</t>
  </si>
  <si>
    <t>ORD10554</t>
  </si>
  <si>
    <t>ORD10555</t>
  </si>
  <si>
    <t>ORD10556</t>
  </si>
  <si>
    <t>2025-02-16</t>
  </si>
  <si>
    <t>ORD10557</t>
  </si>
  <si>
    <t>2025-01-19</t>
  </si>
  <si>
    <t>ORD10558</t>
  </si>
  <si>
    <t>ORD10559</t>
  </si>
  <si>
    <t>ORD10560</t>
  </si>
  <si>
    <t>ORD10561</t>
  </si>
  <si>
    <t>ORD10562</t>
  </si>
  <si>
    <t>ORD10563</t>
  </si>
  <si>
    <t>ORD10564</t>
  </si>
  <si>
    <t>2025-03-28</t>
  </si>
  <si>
    <t>ORD10565</t>
  </si>
  <si>
    <t>ORD10566</t>
  </si>
  <si>
    <t>ORD10567</t>
  </si>
  <si>
    <t>ORD10568</t>
  </si>
  <si>
    <t>ORD10569</t>
  </si>
  <si>
    <t>ORD10570</t>
  </si>
  <si>
    <t>ORD10571</t>
  </si>
  <si>
    <t>ORD10572</t>
  </si>
  <si>
    <t>2025-05-04</t>
  </si>
  <si>
    <t>ORD10573</t>
  </si>
  <si>
    <t>2025-04-13</t>
  </si>
  <si>
    <t>ORD10574</t>
  </si>
  <si>
    <t>ORD10575</t>
  </si>
  <si>
    <t>ORD10576</t>
  </si>
  <si>
    <t>ORD10577</t>
  </si>
  <si>
    <t>ORD10578</t>
  </si>
  <si>
    <t>ORD10579</t>
  </si>
  <si>
    <t>ORD10580</t>
  </si>
  <si>
    <t>ORD10581</t>
  </si>
  <si>
    <t>ORD10582</t>
  </si>
  <si>
    <t>ORD10583</t>
  </si>
  <si>
    <t>ORD10584</t>
  </si>
  <si>
    <t>ORD10585</t>
  </si>
  <si>
    <t>2025-05-24</t>
  </si>
  <si>
    <t>ORD10586</t>
  </si>
  <si>
    <t>ORD10587</t>
  </si>
  <si>
    <t>ORD10588</t>
  </si>
  <si>
    <t>2025-10-25</t>
  </si>
  <si>
    <t>ORD10589</t>
  </si>
  <si>
    <t>ORD10590</t>
  </si>
  <si>
    <t>ORD10591</t>
  </si>
  <si>
    <t>ORD10592</t>
  </si>
  <si>
    <t>2025-04-09</t>
  </si>
  <si>
    <t>ORD10593</t>
  </si>
  <si>
    <t>2025-10-10</t>
  </si>
  <si>
    <t>ORD10594</t>
  </si>
  <si>
    <t>2025-11-30</t>
  </si>
  <si>
    <t>ORD10595</t>
  </si>
  <si>
    <t>2025-07-25</t>
  </si>
  <si>
    <t>ORD10596</t>
  </si>
  <si>
    <t>2025-12-30</t>
  </si>
  <si>
    <t>ORD10597</t>
  </si>
  <si>
    <t>ORD10598</t>
  </si>
  <si>
    <t>ORD10599</t>
  </si>
  <si>
    <t>2025-02-09</t>
  </si>
  <si>
    <t>ORD10600</t>
  </si>
  <si>
    <t>ORD10601</t>
  </si>
  <si>
    <t>ORD10602</t>
  </si>
  <si>
    <t>2025-01-26</t>
  </si>
  <si>
    <t>ORD10603</t>
  </si>
  <si>
    <t>ORD10604</t>
  </si>
  <si>
    <t>ORD10605</t>
  </si>
  <si>
    <t>ORD10606</t>
  </si>
  <si>
    <t>ORD10607</t>
  </si>
  <si>
    <t>ORD10608</t>
  </si>
  <si>
    <t>2025-09-17</t>
  </si>
  <si>
    <t>ORD10609</t>
  </si>
  <si>
    <t>ORD10610</t>
  </si>
  <si>
    <t>ORD10611</t>
  </si>
  <si>
    <t>ORD10612</t>
  </si>
  <si>
    <t>ORD10613</t>
  </si>
  <si>
    <t>ORD10614</t>
  </si>
  <si>
    <t>ORD10615</t>
  </si>
  <si>
    <t>2025-09-05</t>
  </si>
  <si>
    <t>ORD10616</t>
  </si>
  <si>
    <t>2025-08-05</t>
  </si>
  <si>
    <t>ORD10617</t>
  </si>
  <si>
    <t>ORD10618</t>
  </si>
  <si>
    <t>ORD10619</t>
  </si>
  <si>
    <t>ORD10620</t>
  </si>
  <si>
    <t>ORD10621</t>
  </si>
  <si>
    <t>ORD10622</t>
  </si>
  <si>
    <t>ORD10623</t>
  </si>
  <si>
    <t>ORD10624</t>
  </si>
  <si>
    <t>ORD10625</t>
  </si>
  <si>
    <t>ORD10626</t>
  </si>
  <si>
    <t>ORD10627</t>
  </si>
  <si>
    <t>ORD10628</t>
  </si>
  <si>
    <t>ORD10629</t>
  </si>
  <si>
    <t>ORD10630</t>
  </si>
  <si>
    <t>2025-05-28</t>
  </si>
  <si>
    <t>ORD10631</t>
  </si>
  <si>
    <t>ORD10632</t>
  </si>
  <si>
    <t>ORD10633</t>
  </si>
  <si>
    <t>ORD10634</t>
  </si>
  <si>
    <t>ORD10635</t>
  </si>
  <si>
    <t>2025-06-03</t>
  </si>
  <si>
    <t>ORD10636</t>
  </si>
  <si>
    <t>2025-05-20</t>
  </si>
  <si>
    <t>ORD10637</t>
  </si>
  <si>
    <t>ORD10638</t>
  </si>
  <si>
    <t>ORD10639</t>
  </si>
  <si>
    <t>2025-05-13</t>
  </si>
  <si>
    <t>ORD10640</t>
  </si>
  <si>
    <t>ORD10641</t>
  </si>
  <si>
    <t>ORD10642</t>
  </si>
  <si>
    <t>2025-03-23</t>
  </si>
  <si>
    <t>ORD10643</t>
  </si>
  <si>
    <t>ORD10644</t>
  </si>
  <si>
    <t>ORD10645</t>
  </si>
  <si>
    <t>ORD10646</t>
  </si>
  <si>
    <t>ORD10647</t>
  </si>
  <si>
    <t>ORD10648</t>
  </si>
  <si>
    <t>2025-06-14</t>
  </si>
  <si>
    <t>ORD10649</t>
  </si>
  <si>
    <t>ORD10650</t>
  </si>
  <si>
    <t>ORD10651</t>
  </si>
  <si>
    <t>ORD10652</t>
  </si>
  <si>
    <t>ORD10653</t>
  </si>
  <si>
    <t>ORD10654</t>
  </si>
  <si>
    <t>ORD10655</t>
  </si>
  <si>
    <t>ORD10656</t>
  </si>
  <si>
    <t>ORD10657</t>
  </si>
  <si>
    <t>ORD10658</t>
  </si>
  <si>
    <t>ORD10659</t>
  </si>
  <si>
    <t>ORD10660</t>
  </si>
  <si>
    <t>ORD10661</t>
  </si>
  <si>
    <t>2025-11-07</t>
  </si>
  <si>
    <t>ORD10662</t>
  </si>
  <si>
    <t>ORD10663</t>
  </si>
  <si>
    <t>ORD10664</t>
  </si>
  <si>
    <t>ORD10665</t>
  </si>
  <si>
    <t>2025-01-28</t>
  </si>
  <si>
    <t>ORD10666</t>
  </si>
  <si>
    <t>2025-02-04</t>
  </si>
  <si>
    <t>ORD10667</t>
  </si>
  <si>
    <t>2025-12-13</t>
  </si>
  <si>
    <t>ORD10668</t>
  </si>
  <si>
    <t>ORD10669</t>
  </si>
  <si>
    <t>ORD10670</t>
  </si>
  <si>
    <t>ORD10671</t>
  </si>
  <si>
    <t>ORD10672</t>
  </si>
  <si>
    <t>ORD10673</t>
  </si>
  <si>
    <t>2025-02-23</t>
  </si>
  <si>
    <t>ORD10674</t>
  </si>
  <si>
    <t>ORD10675</t>
  </si>
  <si>
    <t>ORD10676</t>
  </si>
  <si>
    <t>ORD10677</t>
  </si>
  <si>
    <t>ORD10678</t>
  </si>
  <si>
    <t>ORD10679</t>
  </si>
  <si>
    <t>ORD10680</t>
  </si>
  <si>
    <t>ORD10681</t>
  </si>
  <si>
    <t>2025-09-25</t>
  </si>
  <si>
    <t>ORD10682</t>
  </si>
  <si>
    <t>ORD10683</t>
  </si>
  <si>
    <t>ORD10684</t>
  </si>
  <si>
    <t>ORD10685</t>
  </si>
  <si>
    <t>ORD10686</t>
  </si>
  <si>
    <t>ORD10687</t>
  </si>
  <si>
    <t>ORD10688</t>
  </si>
  <si>
    <t>ORD10689</t>
  </si>
  <si>
    <t>2025-05-21</t>
  </si>
  <si>
    <t>ORD10690</t>
  </si>
  <si>
    <t>ORD10691</t>
  </si>
  <si>
    <t>ORD10692</t>
  </si>
  <si>
    <t>ORD10693</t>
  </si>
  <si>
    <t>ORD10694</t>
  </si>
  <si>
    <t>ORD10695</t>
  </si>
  <si>
    <t>ORD10696</t>
  </si>
  <si>
    <t>ORD10697</t>
  </si>
  <si>
    <t>2025-04-14</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</si>
  <si>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</si>
  <si>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</si>
  <si>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</si>
  <si>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</si>
  <si>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</si>
  <si>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</si>
  <si>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</si>
  <si>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</si>
  <si>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</si>
  <si>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</si>
  <si>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</si>
  <si>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</si>
  <si>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</si>
  <si>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</si>
  <si>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</si>
  <si>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</si>
  <si>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</si>
  <si>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</si>
  <si>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</si>
  <si>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</si>
  <si>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</si>
  <si>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</si>
  <si>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</si>
  <si>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</si>
  <si>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</si>
  <si>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</si>
  <si>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</si>
  <si>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</si>
  <si>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</si>
  <si>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</si>
  <si>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</si>
  <si>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</si>
  <si>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</si>
  <si>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</si>
  <si>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</si>
  <si>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</si>
  <si>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</si>
  <si>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</si>
  <si>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</si>
  <si>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</si>
  <si>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</si>
  <si>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</si>
  <si>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2025-01-01</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</si>
  <si>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</si>
  <si>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</si>
  <si>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</si>
  <si>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</si>
  <si>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</si>
  <si>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</si>
  <si>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</si>
  <si>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</si>
  <si>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</si>
  <si>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</si>
  <si>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</si>
  <si>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</si>
  <si>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</si>
  <si>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</si>
  <si>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</si>
  <si>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</si>
  <si>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</si>
  <si>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</si>
  <si>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</si>
  <si>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</si>
  <si>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</si>
  <si>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</si>
  <si>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</si>
  <si>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</si>
  <si>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</si>
  <si>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</si>
  <si>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</si>
  <si>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</si>
  <si>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2025-01-13</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</si>
  <si>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</si>
  <si>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</si>
  <si>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</si>
  <si>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</si>
  <si>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</si>
  <si>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</si>
  <si>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</si>
  <si>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</si>
  <si>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</si>
  <si>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</si>
  <si>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</si>
  <si>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</si>
  <si>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</si>
  <si>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</si>
  <si>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</si>
  <si>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</si>
  <si>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</si>
  <si>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</si>
  <si>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</si>
  <si>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</si>
  <si>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</si>
  <si>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</si>
  <si>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</si>
  <si>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</si>
  <si>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</si>
  <si>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</si>
  <si>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2025-10-05</t>
  </si>
  <si>
    <t>ORD10794</t>
  </si>
  <si>
    <t>ORD10795</t>
  </si>
  <si>
    <t>ORD10796</t>
  </si>
  <si>
    <t>ORD10797</t>
  </si>
  <si>
    <t>ORD10798</t>
  </si>
  <si>
    <t>ORD10799</t>
  </si>
  <si>
    <t>ORD10800</t>
  </si>
  <si>
    <t>ORD10801</t>
  </si>
  <si>
    <t>2025-10-17</t>
  </si>
  <si>
    <t>ORD10802</t>
  </si>
  <si>
    <t>ORD10803</t>
  </si>
  <si>
    <t>ORD10804</t>
  </si>
  <si>
    <t>2025-03-26</t>
  </si>
  <si>
    <t>ORD10805</t>
  </si>
  <si>
    <t>ORD10806</t>
  </si>
  <si>
    <t>ORD10807</t>
  </si>
  <si>
    <t>2025-08-03</t>
  </si>
  <si>
    <t>ORD10808</t>
  </si>
  <si>
    <t>ORD10809</t>
  </si>
  <si>
    <t>ORD10810</t>
  </si>
  <si>
    <t>2025-03-02</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</si>
  <si>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</si>
  <si>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</si>
  <si>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</si>
  <si>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</si>
  <si>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</si>
  <si>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</si>
  <si>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</si>
  <si>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</si>
  <si>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</si>
  <si>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</si>
  <si>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</si>
  <si>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</si>
  <si>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</si>
  <si>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</si>
  <si>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</si>
  <si>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</si>
  <si>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</si>
  <si>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</si>
  <si>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</si>
  <si>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</si>
  <si>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</si>
  <si>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</si>
  <si>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</si>
  <si>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</si>
  <si>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</si>
  <si>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</si>
  <si>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</si>
  <si>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</si>
  <si>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</si>
  <si>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</si>
  <si>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2025-07-15</t>
  </si>
  <si>
    <t>ORD10841</t>
  </si>
  <si>
    <t>ORD10842</t>
  </si>
  <si>
    <t>ORD10843</t>
  </si>
  <si>
    <t>ORD10844</t>
  </si>
  <si>
    <t>ORD10845</t>
  </si>
  <si>
    <t>ORD10846</t>
  </si>
  <si>
    <t>ORD10847</t>
  </si>
  <si>
    <t>ORD10848</t>
  </si>
  <si>
    <t>ORD10849</t>
  </si>
  <si>
    <t>ORD10850</t>
  </si>
  <si>
    <t>ORD10851</t>
  </si>
  <si>
    <t>ORD10852</t>
  </si>
  <si>
    <t>ORD10853</t>
  </si>
  <si>
    <t>ORD10854</t>
  </si>
  <si>
    <t>2025-09-23</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</si>
  <si>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</si>
  <si>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</si>
  <si>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</si>
  <si>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</si>
  <si>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</si>
  <si>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</si>
  <si>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</si>
  <si>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</si>
  <si>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</si>
  <si>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</si>
  <si>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</si>
  <si>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</si>
  <si>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</si>
  <si>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</si>
  <si>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</si>
  <si>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</si>
  <si>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</si>
  <si>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</si>
  <si>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</si>
  <si>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2025-07-17</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</si>
  <si>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</si>
  <si>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</si>
  <si>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</si>
  <si>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</si>
  <si>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</si>
  <si>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</si>
  <si>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</si>
  <si>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</si>
  <si>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</si>
  <si>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</si>
  <si>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</si>
  <si>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</si>
  <si>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</si>
  <si>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</si>
  <si>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</si>
  <si>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</si>
  <si>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</si>
  <si>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</si>
  <si>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</si>
  <si>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</si>
  <si>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</si>
  <si>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</si>
  <si>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</si>
  <si>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</si>
  <si>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</si>
  <si>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</si>
  <si>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</si>
  <si>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</si>
  <si>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</si>
  <si>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</si>
  <si>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</si>
  <si>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</si>
  <si>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</si>
  <si>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</si>
  <si>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</si>
  <si>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</si>
  <si>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</si>
  <si>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</si>
  <si>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2025-08-13</t>
  </si>
  <si>
    <t>ORD10912</t>
  </si>
  <si>
    <t>2025-01-02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</si>
  <si>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</si>
  <si>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</si>
  <si>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</si>
  <si>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</si>
  <si>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</si>
  <si>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</si>
  <si>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</si>
  <si>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</si>
  <si>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</si>
  <si>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</si>
  <si>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</si>
  <si>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</si>
  <si>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</si>
  <si>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</si>
  <si>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</si>
  <si>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</si>
  <si>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</si>
  <si>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</si>
  <si>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2025-12-04</t>
  </si>
  <si>
    <t>ORD10931</t>
  </si>
  <si>
    <t>ORD10932</t>
  </si>
  <si>
    <t>ORD10933</t>
  </si>
  <si>
    <t>ORD10934</t>
  </si>
  <si>
    <t>ORD10935</t>
  </si>
  <si>
    <t>ORD10936</t>
  </si>
  <si>
    <t>ORD10937</t>
  </si>
  <si>
    <t>ORD10938</t>
  </si>
  <si>
    <t>2025-06-18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</si>
  <si>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</si>
  <si>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</si>
  <si>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</si>
  <si>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</si>
  <si>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</si>
  <si>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</si>
  <si>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</si>
  <si>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</si>
  <si>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</si>
  <si>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</si>
  <si>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</si>
  <si>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</si>
  <si>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</si>
  <si>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</si>
  <si>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</si>
  <si>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</si>
  <si>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</si>
  <si>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</si>
  <si>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</si>
  <si>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</si>
  <si>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</si>
  <si>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</si>
  <si>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</si>
  <si>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</si>
  <si>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2025-01-07</t>
  </si>
  <si>
    <t>ORD10963</t>
  </si>
  <si>
    <t>ORD10964</t>
  </si>
  <si>
    <t>ORD10965</t>
  </si>
  <si>
    <t>ORD10966</t>
  </si>
  <si>
    <t>ORD10967</t>
  </si>
  <si>
    <t>ORD10968</t>
  </si>
  <si>
    <t>ORD10969</t>
  </si>
  <si>
    <t>ORD10970</t>
  </si>
  <si>
    <t>ORD10971</t>
  </si>
  <si>
    <t>ORD10972</t>
  </si>
  <si>
    <t>2025-08-04</t>
  </si>
  <si>
    <t>ORD10973</t>
  </si>
  <si>
    <t>ORD10974</t>
  </si>
  <si>
    <t>ORD10975</t>
  </si>
  <si>
    <t>ORD10976</t>
  </si>
  <si>
    <t>ORD10977</t>
  </si>
  <si>
    <t>ORD10978</t>
  </si>
  <si>
    <t>2025-12-21</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</si>
  <si>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</si>
  <si>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</si>
  <si>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</si>
  <si>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</si>
  <si>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</si>
  <si>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</si>
  <si>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</si>
  <si>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</si>
  <si>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</si>
  <si>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</si>
  <si>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</si>
  <si>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</si>
  <si>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</si>
  <si>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</si>
  <si>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</si>
  <si>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</si>
  <si>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</si>
  <si>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2025-07-13</t>
  </si>
  <si>
    <t>ORD10996</t>
  </si>
  <si>
    <t>ORD10997</t>
  </si>
  <si>
    <t>ORD10998</t>
  </si>
  <si>
    <t>ORD10999</t>
  </si>
  <si>
    <t>ORD11000</t>
  </si>
  <si>
    <t>2025-01-25</t>
  </si>
  <si>
    <t>ORD11001</t>
  </si>
  <si>
    <t>Sum of Revenue</t>
  </si>
  <si>
    <t>Row Labels</t>
  </si>
  <si>
    <t>Grand Total</t>
  </si>
  <si>
    <t>Jan</t>
  </si>
  <si>
    <t>Feb</t>
  </si>
  <si>
    <t>Mar</t>
  </si>
  <si>
    <t>Apr</t>
  </si>
  <si>
    <t>May</t>
  </si>
  <si>
    <t>Jun</t>
  </si>
  <si>
    <t>Jul</t>
  </si>
  <si>
    <t>Aug</t>
  </si>
  <si>
    <t>Sep</t>
  </si>
  <si>
    <t>Oct</t>
  </si>
  <si>
    <t>Nov</t>
  </si>
  <si>
    <t>Dec</t>
  </si>
  <si>
    <t>Total Orders</t>
  </si>
  <si>
    <t>Total Revenue</t>
  </si>
  <si>
    <t>Total Units Sold</t>
  </si>
  <si>
    <t>Avg CSAT</t>
  </si>
  <si>
    <t>HEADLINE</t>
  </si>
  <si>
    <t>KEY METRICS</t>
  </si>
  <si>
    <t>Total Revenue: $10,323,697.32 | Total Orders: 1,000 | Total Units Sold: 13,321 | Avg Customer Satisfaction: 4.01</t>
  </si>
  <si>
    <t>REGIONAL PERFORMANCE</t>
  </si>
  <si>
    <t>PRODUCT PERFORMANCE</t>
  </si>
  <si>
    <t>MONTHLY TREND</t>
  </si>
  <si>
    <t>RECOMMENDATIONS</t>
  </si>
  <si>
    <t>South is clearly the strongest region, outperforming East by about $553,000 around 24% gap. That's a bigger spread than anything seen across categories, and it's worth digging into why East is lagging behind the other three.</t>
  </si>
  <si>
    <t>The top 5 products which are Laptop, Pen, Tablet, Cabinet, and Notebook are all within 3.4% of each other, basically neck and neck. After that there's a real drop-off like Headphones, Paper, Desk, and Chair trail noticeably behind, with the full spread between best and worst sitting at about 38%.</t>
  </si>
  <si>
    <t>May was the strongest month, December the weakest, with revenue swinging by about 51% between the two. It's tempting to call this a holiday slowdown, but with only one year of data on hand, there's no way to confirm that yet as it could just as easily be a one-off. Worth tracking over the next year or two before drawing any real conclusions.</t>
  </si>
  <si>
    <t>1.Look into why East is underperforming need to check order volume, average order size, and category mix to find the actual driver before assuming it's one thing.
2.Categories are healthy and balanced right now, so no urgent fix needed there, just keep an eye on it, and if data like delivery times or stock levels becomes available later, use it to dig deeper if the gap ever widens.
3.Keep tracking monthly revenue going forward. If the Dec/May pattern repeats next year, that's a real signal the business can plan around like inventory, staffing, promotions, whatever fits.</t>
  </si>
  <si>
    <t>Electronics pulled in about $455,000 more than Furniture this year around roughly 14% gap and that is actually a good sign. Category performance is fairly balanced overall, no category is dragging the business down. The bigger imbalance is by region, not by 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</si>
</sst>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409]#,##0.00"/>
    <numFmt numFmtId="165" formatCode="_-[$$-409]* #,##0.00_ ;_-[$$-409]* \-#,##0.00\ ;_-[$$-409]* &quot;-&quot;??_ ;_-@_ "/>
    <numFmt numFmtId="166" formatCode="0.0"/>
    <numFmt numFmtId="167" formatCode="_-[$$-409]* #,##0_ ;_-[$$-409]* \-#,##0\ ;_-[$$-409]* &quot;-&quot;??_ ;_-@_ "/>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5" fontId="0" fillId="0" borderId="0" xfId="1" applyNumberFormat="1" applyFont="1"/>
    <xf numFmtId="166" fontId="0" fillId="0" borderId="0" xfId="0" applyNumberFormat="1"/>
    <xf numFmtId="167" fontId="2" fillId="0" borderId="0" xfId="0" applyNumberFormat="1" applyFont="1"/>
    <xf numFmtId="0" fontId="0" fillId="0" borderId="0" xfId="0" applyAlignment="1">
      <alignment horizontal="center" vertical="center"/>
    </xf>
    <xf numFmtId="0" fontId="2" fillId="0" borderId="0" xfId="0" applyFont="1"/>
    <xf numFmtId="0" fontId="0" fillId="0" borderId="0" xfId="0" applyAlignment="1">
      <alignment wrapText="1"/>
    </xf>
    <xf numFmtId="0" fontId="2" fillId="0" borderId="0" xfId="0" applyFont="1" applyAlignment="1">
      <alignment horizontal="left" vertical="top"/>
    </xf>
    <xf numFmtId="0" fontId="0" fillId="0" borderId="0" xfId="0" applyAlignment="1">
      <alignment horizontal="left" vertical="center"/>
    </xf>
    <xf numFmtId="0" fontId="3" fillId="0" borderId="0" xfId="0" applyFont="1" applyAlignment="1">
      <alignment horizontal="left" vertical="top" wrapText="1"/>
    </xf>
    <xf numFmtId="0" fontId="3" fillId="0" borderId="0" xfId="0" applyFont="1" applyAlignment="1">
      <alignment horizontal="left" vertical="center" wrapText="1"/>
    </xf>
    <xf numFmtId="0" fontId="0" fillId="0" borderId="0" xfId="0" applyAlignment="1">
      <alignment horizontal="left" vertical="center" wrapText="1"/>
    </xf>
  </cellXfs>
  <cellStyles count="2">
    <cellStyle name="Currency" xfId="1" builtinId="4"/>
    <cellStyle name="Normal" xfId="0" builtinId="0"/>
  </cellStyles>
  <dxfs count="6">
    <dxf>
      <numFmt numFmtId="166" formatCode="0.0"/>
    </dxf>
    <dxf>
      <numFmt numFmtId="166" formatCode="0.0"/>
    </dxf>
    <dxf>
      <numFmt numFmtId="166" formatCode="0.0"/>
    </dxf>
    <dxf>
      <numFmt numFmtId="166" formatCode="0.0"/>
    </dxf>
    <dxf>
      <numFmt numFmtId="164" formatCode="[$$-409]#,##0.00"/>
    </dxf>
    <dxf>
      <numFmt numFmtId="165" formatCode="_-[$$-409]* #,##0.00_ ;_-[$$-409]* \-#,##0.00\ ;_-[$$-409]* &quot;-&quot;??_ ;_-@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[Data_Analytics_Project_Dataset (1).xlsx]Dashboard!PivotTable1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layout>
        <c:manualLayout>
          <c:xMode val="edge"/>
          <c:yMode val="edge"/>
          <c:x val="0.23424978621305853"/>
          <c:y val="2.69590127482166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08234387372798"/>
          <c:y val="0.17328759201732019"/>
          <c:w val="0.8163334741595446"/>
          <c:h val="0.57505769844175536"/>
        </c:manualLayout>
      </c:layout>
      <c:barChart>
        <c:barDir val="col"/>
        <c:grouping val="clustered"/>
        <c:varyColors val="0"/>
        <c:ser>
          <c:idx val="0"/>
          <c:order val="0"/>
          <c:tx>
            <c:strRef>
              <c:f>Dashboard!$F$41</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Dashboard!$E$42:$E$46</c:f>
              <c:strCache>
                <c:ptCount val="4"/>
                <c:pt idx="0">
                  <c:v>South</c:v>
                </c:pt>
                <c:pt idx="1">
                  <c:v>North</c:v>
                </c:pt>
                <c:pt idx="2">
                  <c:v>West</c:v>
                </c:pt>
                <c:pt idx="3">
                  <c:v>East</c:v>
                </c:pt>
              </c:strCache>
            </c:strRef>
          </c:cat>
          <c:val>
            <c:numRef>
              <c:f>Dashboard!$F$42:$F$46</c:f>
              <c:numCache>
                <c:formatCode>General</c:formatCode>
                <c:ptCount val="4"/>
                <c:pt idx="0">
                  <c:v>2910054.0999999982</c:v>
                </c:pt>
                <c:pt idx="1">
                  <c:v>2593096.9900000002</c:v>
                </c:pt>
                <c:pt idx="2">
                  <c:v>2463349.5099999993</c:v>
                </c:pt>
                <c:pt idx="3">
                  <c:v>2357196.7199999997</c:v>
                </c:pt>
              </c:numCache>
            </c:numRef>
          </c:val>
          <c:extLst>
            <c:ext xmlns:c16="http://schemas.microsoft.com/office/drawing/2014/chart" uri="{C3380CC4-5D6E-409C-BE32-E72D297353CC}">
              <c16:uniqueId val="{00000000-3D08-4458-858B-1386331A7D40}"/>
            </c:ext>
          </c:extLst>
        </c:ser>
        <c:dLbls>
          <c:showLegendKey val="0"/>
          <c:showVal val="1"/>
          <c:showCatName val="0"/>
          <c:showSerName val="0"/>
          <c:showPercent val="0"/>
          <c:showBubbleSize val="0"/>
        </c:dLbls>
        <c:gapWidth val="219"/>
        <c:overlap val="-27"/>
        <c:axId val="986330640"/>
        <c:axId val="619559312"/>
      </c:barChart>
      <c:catAx>
        <c:axId val="98633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559312"/>
        <c:crosses val="autoZero"/>
        <c:auto val="1"/>
        <c:lblAlgn val="ctr"/>
        <c:lblOffset val="100"/>
        <c:noMultiLvlLbl val="0"/>
      </c:catAx>
      <c:valAx>
        <c:axId val="61955931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33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[Data_Analytics_Project_Dataset (1).xlsx]Dashboard!PivotTable2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9849125816976331E-17"/>
              <c:y val="-0.36526907835868594"/>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34723109918047923"/>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939650326790532E-16"/>
              <c:y val="-0.3156646356186175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Dashboard!$I$41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73ED-4E1C-8F0A-E0770D4C397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73ED-4E1C-8F0A-E0770D4C397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73ED-4E1C-8F0A-E0770D4C397E}"/>
              </c:ext>
            </c:extLst>
          </c:dPt>
          <c:dLbls>
            <c:dLbl>
              <c:idx val="0"/>
              <c:layout>
                <c:manualLayout>
                  <c:x val="-2.9849125816976331E-17"/>
                  <c:y val="-0.365269078358685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ED-4E1C-8F0A-E0770D4C397E}"/>
                </c:ext>
              </c:extLst>
            </c:dLbl>
            <c:dLbl>
              <c:idx val="1"/>
              <c:layout>
                <c:manualLayout>
                  <c:x val="0"/>
                  <c:y val="-0.347231099180479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ED-4E1C-8F0A-E0770D4C397E}"/>
                </c:ext>
              </c:extLst>
            </c:dLbl>
            <c:dLbl>
              <c:idx val="2"/>
              <c:layout>
                <c:manualLayout>
                  <c:x val="-1.1939650326790532E-16"/>
                  <c:y val="-0.315664635618617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ED-4E1C-8F0A-E0770D4C397E}"/>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Dashboard!$H$42:$H$45</c:f>
              <c:strCache>
                <c:ptCount val="3"/>
                <c:pt idx="0">
                  <c:v>Electronics</c:v>
                </c:pt>
                <c:pt idx="1">
                  <c:v>Office Supplies</c:v>
                </c:pt>
                <c:pt idx="2">
                  <c:v>Furniture</c:v>
                </c:pt>
              </c:strCache>
            </c:strRef>
          </c:cat>
          <c:val>
            <c:numRef>
              <c:f>Dashboard!$I$42:$I$45</c:f>
              <c:numCache>
                <c:formatCode>General</c:formatCode>
                <c:ptCount val="3"/>
                <c:pt idx="0">
                  <c:v>3633267.9699999993</c:v>
                </c:pt>
                <c:pt idx="1">
                  <c:v>3512479.6399999959</c:v>
                </c:pt>
                <c:pt idx="2">
                  <c:v>3177949.71</c:v>
                </c:pt>
              </c:numCache>
            </c:numRef>
          </c:val>
          <c:extLst>
            <c:ext xmlns:c16="http://schemas.microsoft.com/office/drawing/2014/chart" uri="{C3380CC4-5D6E-409C-BE32-E72D297353CC}">
              <c16:uniqueId val="{00000000-0F9F-4E34-96E3-F6D0ECDB6E02}"/>
            </c:ext>
          </c:extLst>
        </c:ser>
        <c:dLbls>
          <c:showLegendKey val="0"/>
          <c:showVal val="1"/>
          <c:showCatName val="0"/>
          <c:showSerName val="0"/>
          <c:showPercent val="0"/>
          <c:showBubbleSize val="0"/>
        </c:dLbls>
        <c:gapWidth val="150"/>
        <c:overlap val="100"/>
        <c:axId val="1128096080"/>
        <c:axId val="978241808"/>
      </c:barChart>
      <c:catAx>
        <c:axId val="112809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241808"/>
        <c:crosses val="autoZero"/>
        <c:auto val="1"/>
        <c:lblAlgn val="ctr"/>
        <c:lblOffset val="100"/>
        <c:noMultiLvlLbl val="0"/>
      </c:catAx>
      <c:valAx>
        <c:axId val="97824180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9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[Data_Analytics_Project_Dataset (1).xlsx]Dashboard!PivotTable3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Dashboard!$L$41</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Dashboard!$K$42:$K$51</c:f>
              <c:strCache>
                <c:ptCount val="9"/>
                <c:pt idx="0">
                  <c:v>Laptop</c:v>
                </c:pt>
                <c:pt idx="1">
                  <c:v>Pen</c:v>
                </c:pt>
                <c:pt idx="2">
                  <c:v>Tablet</c:v>
                </c:pt>
                <c:pt idx="3">
                  <c:v>Cabinet</c:v>
                </c:pt>
                <c:pt idx="4">
                  <c:v>Notebook</c:v>
                </c:pt>
                <c:pt idx="5">
                  <c:v>Headphones</c:v>
                </c:pt>
                <c:pt idx="6">
                  <c:v>Paper</c:v>
                </c:pt>
                <c:pt idx="7">
                  <c:v>Desk</c:v>
                </c:pt>
                <c:pt idx="8">
                  <c:v>Chair</c:v>
                </c:pt>
              </c:strCache>
            </c:strRef>
          </c:cat>
          <c:val>
            <c:numRef>
              <c:f>Dashboard!$L$42:$L$51</c:f>
              <c:numCache>
                <c:formatCode>0.0</c:formatCode>
                <c:ptCount val="9"/>
                <c:pt idx="0">
                  <c:v>1291249.0100000002</c:v>
                </c:pt>
                <c:pt idx="1">
                  <c:v>1268985.2</c:v>
                </c:pt>
                <c:pt idx="2">
                  <c:v>1262282.58</c:v>
                </c:pt>
                <c:pt idx="3">
                  <c:v>1252917.0500000003</c:v>
                </c:pt>
                <c:pt idx="4">
                  <c:v>1248241.9699999995</c:v>
                </c:pt>
                <c:pt idx="5">
                  <c:v>1079736.3800000004</c:v>
                </c:pt>
                <c:pt idx="6">
                  <c:v>995252.46999999986</c:v>
                </c:pt>
                <c:pt idx="7">
                  <c:v>988293.35</c:v>
                </c:pt>
                <c:pt idx="8">
                  <c:v>936739.30999999994</c:v>
                </c:pt>
              </c:numCache>
            </c:numRef>
          </c:val>
          <c:extLst>
            <c:ext xmlns:c16="http://schemas.microsoft.com/office/drawing/2014/chart" uri="{C3380CC4-5D6E-409C-BE32-E72D297353CC}">
              <c16:uniqueId val="{00000000-7D1C-4B84-9727-CDF534518E61}"/>
            </c:ext>
          </c:extLst>
        </c:ser>
        <c:dLbls>
          <c:dLblPos val="ctr"/>
          <c:showLegendKey val="0"/>
          <c:showVal val="1"/>
          <c:showCatName val="0"/>
          <c:showSerName val="0"/>
          <c:showPercent val="0"/>
          <c:showBubbleSize val="0"/>
        </c:dLbls>
        <c:gapWidth val="70"/>
        <c:overlap val="85"/>
        <c:axId val="1128094224"/>
        <c:axId val="978235088"/>
      </c:barChart>
      <c:catAx>
        <c:axId val="1128094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235088"/>
        <c:crosses val="autoZero"/>
        <c:auto val="1"/>
        <c:lblAlgn val="ctr"/>
        <c:lblOffset val="100"/>
        <c:noMultiLvlLbl val="0"/>
      </c:catAx>
      <c:valAx>
        <c:axId val="978235088"/>
        <c:scaling>
          <c:orientation val="minMax"/>
        </c:scaling>
        <c:delete val="1"/>
        <c:axPos val="b"/>
        <c:numFmt formatCode="0.0" sourceLinked="1"/>
        <c:majorTickMark val="out"/>
        <c:minorTickMark val="none"/>
        <c:tickLblPos val="nextTo"/>
        <c:crossAx val="112809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[Data_Analytics_Project_Dataset (1).xlsx]Dashboard!PivotTable4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Dashboard!$O$41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Dashboard!$N$42:$N$54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Dashboard!$O$42:$O$54</c:f>
              <c:numCache>
                <c:formatCode>General</c:formatCode>
                <c:ptCount val="12"/>
                <c:pt idx="0">
                  <c:v>1000638.9099999996</c:v>
                </c:pt>
                <c:pt idx="1">
                  <c:v>754708.59000000032</c:v>
                </c:pt>
                <c:pt idx="2">
                  <c:v>875122.05000000016</c:v>
                </c:pt>
                <c:pt idx="3">
                  <c:v>844636.56</c:v>
                </c:pt>
                <c:pt idx="4">
                  <c:v>1087347.6300000001</c:v>
                </c:pt>
                <c:pt idx="5">
                  <c:v>858592.61999999965</c:v>
                </c:pt>
                <c:pt idx="6">
                  <c:v>790059.39999999967</c:v>
                </c:pt>
                <c:pt idx="7">
                  <c:v>795408.35000000021</c:v>
                </c:pt>
                <c:pt idx="8">
                  <c:v>833484.58</c:v>
                </c:pt>
                <c:pt idx="9">
                  <c:v>837914.27999999991</c:v>
                </c:pt>
                <c:pt idx="10">
                  <c:v>924475.74</c:v>
                </c:pt>
                <c:pt idx="11">
                  <c:v>721308.6100000001</c:v>
                </c:pt>
              </c:numCache>
            </c:numRef>
          </c:val>
          <c:smooth val="0"/>
          <c:extLst>
            <c:ext xmlns:c16="http://schemas.microsoft.com/office/drawing/2014/chart" uri="{C3380CC4-5D6E-409C-BE32-E72D297353CC}">
              <c16:uniqueId val="{00000000-1B57-4F47-8D75-CC6E5E4D0D17}"/>
            </c:ext>
          </c:extLst>
        </c:ser>
        <c:dLbls>
          <c:showLegendKey val="0"/>
          <c:showVal val="0"/>
          <c:showCatName val="0"/>
          <c:showSerName val="0"/>
          <c:showPercent val="0"/>
          <c:showBubbleSize val="0"/>
        </c:dLbls>
        <c:marker val="1"/>
        <c:smooth val="0"/>
        <c:axId val="986327856"/>
        <c:axId val="619566512"/>
      </c:lineChart>
      <c:catAx>
        <c:axId val="98632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566512"/>
        <c:crosses val="autoZero"/>
        <c:auto val="1"/>
        <c:lblAlgn val="ctr"/>
        <c:lblOffset val="100"/>
        <c:noMultiLvlLbl val="0"/>
      </c:catAx>
      <c:valAx>
        <c:axId val="61956651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32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45357</xdr:colOff>
      <xdr:row>1</xdr:row>
      <xdr:rowOff>18143</xdr:rowOff>
    </xdr:from>
    <xdr:to>
      <xdr:col>14</xdr:col>
      <xdr:colOff>154214</xdr:colOff>
      <xdr:row>34</xdr:row>
      <xdr:rowOff>108857</xdr:rowOff>
    </xdr:to>
    <xdr:sp macro="" textlink="">
      <xdr:nvSpPr>
        <xdr:cNvPr id="17" name="Rectangle 16">
          <a:extLst>
            <a:ext uri="{FF2B5EF4-FFF2-40B4-BE49-F238E27FC236}">
              <a16:creationId xmlns:a16="http://schemas.microsoft.com/office/drawing/2014/main" id="{B0B06D6B-71C1-8315-331D-2A8311145BD7}"/>
            </a:ext>
          </a:extLst>
        </xdr:cNvPr>
        <xdr:cNvSpPr/>
      </xdr:nvSpPr>
      <xdr:spPr>
        <a:xfrm>
          <a:off x="45357" y="18143"/>
          <a:ext cx="12790714" cy="6077857"/>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471714</xdr:colOff>
      <xdr:row>3</xdr:row>
      <xdr:rowOff>36287</xdr:rowOff>
    </xdr:from>
    <xdr:to>
      <xdr:col>8</xdr:col>
      <xdr:colOff>639296</xdr:colOff>
      <xdr:row>16</xdr:row>
      <xdr:rowOff>90715</xdr:rowOff>
    </xdr:to>
    <xdr:graphicFrame macro="">
      <xdr:nvGraphicFramePr>
        <xdr:cNvPr id="2" name="Chart 1">
          <a:extLst>
            <a:ext uri="{FF2B5EF4-FFF2-40B4-BE49-F238E27FC236}">
              <a16:creationId xmlns:a16="http://schemas.microsoft.com/office/drawing/2014/main" id="{3C9754CC-D462-A36C-8E84-9FC962BA0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505415</xdr:colOff>
      <xdr:row>17</xdr:row>
      <xdr:rowOff>97464</xdr:rowOff>
    </xdr:from>
    <xdr:to>
      <xdr:col>8</xdr:col>
      <xdr:colOff>662215</xdr:colOff>
      <xdr:row>33</xdr:row>
      <xdr:rowOff>18144</xdr:rowOff>
    </xdr:to>
    <xdr:graphicFrame macro="">
      <xdr:nvGraphicFramePr>
        <xdr:cNvPr id="3" name="Chart 2">
          <a:extLst>
            <a:ext uri="{FF2B5EF4-FFF2-40B4-BE49-F238E27FC236}">
              <a16:creationId xmlns:a16="http://schemas.microsoft.com/office/drawing/2014/main" id="{3D84F864-EAE4-4EC7-5958-56CDB32C2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796007</xdr:colOff>
      <xdr:row>3</xdr:row>
      <xdr:rowOff>59982</xdr:rowOff>
    </xdr:from>
    <xdr:to>
      <xdr:col>13</xdr:col>
      <xdr:colOff>613413</xdr:colOff>
      <xdr:row>16</xdr:row>
      <xdr:rowOff>60400</xdr:rowOff>
    </xdr:to>
    <xdr:graphicFrame macro="">
      <xdr:nvGraphicFramePr>
        <xdr:cNvPr id="4" name="Chart 3">
          <a:extLst>
            <a:ext uri="{FF2B5EF4-FFF2-40B4-BE49-F238E27FC236}">
              <a16:creationId xmlns:a16="http://schemas.microsoft.com/office/drawing/2014/main" id="{71A2B4F8-44E4-DAC3-E14C-848B8542B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807356</xdr:colOff>
      <xdr:row>17</xdr:row>
      <xdr:rowOff>53885</xdr:rowOff>
    </xdr:from>
    <xdr:to>
      <xdr:col>13</xdr:col>
      <xdr:colOff>616857</xdr:colOff>
      <xdr:row>33</xdr:row>
      <xdr:rowOff>18143</xdr:rowOff>
    </xdr:to>
    <xdr:graphicFrame macro="">
      <xdr:nvGraphicFramePr>
        <xdr:cNvPr id="5" name="Chart 4">
          <a:extLst>
            <a:ext uri="{FF2B5EF4-FFF2-40B4-BE49-F238E27FC236}">
              <a16:creationId xmlns:a16="http://schemas.microsoft.com/office/drawing/2014/main" id="{8290E452-D4C7-8073-99DC-7E60C2CB6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189921</xdr:colOff>
      <xdr:row>25</xdr:row>
      <xdr:rowOff>38193</xdr:rowOff>
    </xdr:from>
    <xdr:to>
      <xdr:col>1</xdr:col>
      <xdr:colOff>1406807</xdr:colOff>
      <xdr:row>33</xdr:row>
      <xdr:rowOff>6350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24AE6832-85B3-A98C-8843-C5EE2977E4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9521" y="4562568"/>
              <a:ext cx="1826486" cy="1419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177800</xdr:colOff>
      <xdr:row>18</xdr:row>
      <xdr:rowOff>96157</xdr:rowOff>
    </xdr:from>
    <xdr:to>
      <xdr:col>1</xdr:col>
      <xdr:colOff>1400902</xdr:colOff>
      <xdr:row>24</xdr:row>
      <xdr:rowOff>132468</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463B1185-5C6A-E84B-358B-0B7D1A92AF0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0575" y="3353707"/>
              <a:ext cx="1826352" cy="1122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38151</xdr:colOff>
      <xdr:row>18</xdr:row>
      <xdr:rowOff>116115</xdr:rowOff>
    </xdr:from>
    <xdr:to>
      <xdr:col>4</xdr:col>
      <xdr:colOff>88449</xdr:colOff>
      <xdr:row>33</xdr:row>
      <xdr:rowOff>57149</xdr:rowOff>
    </xdr:to>
    <mc:AlternateContent xmlns:mc="http://schemas.openxmlformats.org/markup-compatibility/2006" xmlns:a14="http://schemas.microsoft.com/office/drawing/2010/main">
      <mc:Choice Requires="a14">
        <xdr:graphicFrame macro="">
          <xdr:nvGraphicFramePr>
            <xdr:cNvPr id="12" name="Months (OrderDate)">
              <a:extLst>
                <a:ext uri="{FF2B5EF4-FFF2-40B4-BE49-F238E27FC236}">
                  <a16:creationId xmlns:a16="http://schemas.microsoft.com/office/drawing/2014/main" id="{CDD20789-CA45-5F1C-B2F3-72D7C7159CE1}"/>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2838501" y="3373665"/>
              <a:ext cx="1694948" cy="2655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199572</xdr:colOff>
      <xdr:row>3</xdr:row>
      <xdr:rowOff>90714</xdr:rowOff>
    </xdr:from>
    <xdr:to>
      <xdr:col>1</xdr:col>
      <xdr:colOff>1324429</xdr:colOff>
      <xdr:row>6</xdr:row>
      <xdr:rowOff>90714</xdr:rowOff>
    </xdr:to>
    <xdr:sp macro="" textlink="B41">
      <xdr:nvSpPr>
        <xdr:cNvPr id="6" name="Rectangle: Rounded Corners 5">
          <a:extLst>
            <a:ext uri="{FF2B5EF4-FFF2-40B4-BE49-F238E27FC236}">
              <a16:creationId xmlns:a16="http://schemas.microsoft.com/office/drawing/2014/main" id="{30276A3B-040B-4B00-C67D-12019BD4DA42}"/>
            </a:ext>
          </a:extLst>
        </xdr:cNvPr>
        <xdr:cNvSpPr/>
      </xdr:nvSpPr>
      <xdr:spPr>
        <a:xfrm>
          <a:off x="199572" y="453571"/>
          <a:ext cx="1732643" cy="5442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218F10-227F-45CE-BA39-A88D2E298FB6}" type="TxLink">
            <a:rPr lang="en-US" sz="1600" b="0" i="0" u="none" strike="noStrike">
              <a:solidFill>
                <a:srgbClr val="000000"/>
              </a:solidFill>
              <a:latin typeface="Calibri"/>
              <a:ea typeface="Calibri"/>
              <a:cs typeface="Calibri"/>
            </a:rPr>
            <a:pPr algn="ctr"/>
            <a:t>Total Revenue</a:t>
          </a:fld>
          <a:endParaRPr lang="en-IN" sz="1600" b="0"/>
        </a:p>
      </xdr:txBody>
    </xdr:sp>
    <xdr:clientData/>
  </xdr:twoCellAnchor>
  <xdr:twoCellAnchor>
    <xdr:from>
      <xdr:col>1</xdr:col>
      <xdr:colOff>1442357</xdr:colOff>
      <xdr:row>3</xdr:row>
      <xdr:rowOff>99786</xdr:rowOff>
    </xdr:from>
    <xdr:to>
      <xdr:col>4</xdr:col>
      <xdr:colOff>235857</xdr:colOff>
      <xdr:row>6</xdr:row>
      <xdr:rowOff>99786</xdr:rowOff>
    </xdr:to>
    <xdr:sp macro="" textlink="B42">
      <xdr:nvSpPr>
        <xdr:cNvPr id="7" name="Rectangle: Rounded Corners 6">
          <a:extLst>
            <a:ext uri="{FF2B5EF4-FFF2-40B4-BE49-F238E27FC236}">
              <a16:creationId xmlns:a16="http://schemas.microsoft.com/office/drawing/2014/main" id="{4A980C22-7FFD-4E9A-8FDF-C8950B0F4E7D}"/>
            </a:ext>
          </a:extLst>
        </xdr:cNvPr>
        <xdr:cNvSpPr/>
      </xdr:nvSpPr>
      <xdr:spPr>
        <a:xfrm>
          <a:off x="2050143" y="462643"/>
          <a:ext cx="2022928" cy="5442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35E75F-6A12-40E0-AE88-13C6B008BFFD}" type="TxLink">
            <a:rPr lang="en-US" sz="1600" b="0" i="0" u="none" strike="noStrike">
              <a:solidFill>
                <a:srgbClr val="000000"/>
              </a:solidFill>
              <a:latin typeface="Calibri"/>
              <a:ea typeface="Calibri"/>
              <a:cs typeface="Calibri"/>
            </a:rPr>
            <a:pPr algn="ctr"/>
            <a:t>Total Orders</a:t>
          </a:fld>
          <a:endParaRPr lang="en-IN" sz="1600" b="0"/>
        </a:p>
      </xdr:txBody>
    </xdr:sp>
    <xdr:clientData/>
  </xdr:twoCellAnchor>
  <xdr:twoCellAnchor>
    <xdr:from>
      <xdr:col>1</xdr:col>
      <xdr:colOff>1431470</xdr:colOff>
      <xdr:row>6</xdr:row>
      <xdr:rowOff>179613</xdr:rowOff>
    </xdr:from>
    <xdr:to>
      <xdr:col>4</xdr:col>
      <xdr:colOff>224970</xdr:colOff>
      <xdr:row>9</xdr:row>
      <xdr:rowOff>179613</xdr:rowOff>
    </xdr:to>
    <xdr:sp macro="" textlink="C42">
      <xdr:nvSpPr>
        <xdr:cNvPr id="8" name="Rectangle: Rounded Corners 7">
          <a:extLst>
            <a:ext uri="{FF2B5EF4-FFF2-40B4-BE49-F238E27FC236}">
              <a16:creationId xmlns:a16="http://schemas.microsoft.com/office/drawing/2014/main" id="{E997D3AD-3C02-40E8-86E1-A403DCD28585}"/>
            </a:ext>
          </a:extLst>
        </xdr:cNvPr>
        <xdr:cNvSpPr/>
      </xdr:nvSpPr>
      <xdr:spPr>
        <a:xfrm>
          <a:off x="2039256" y="1086756"/>
          <a:ext cx="2022928" cy="5442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285FA4-7437-440D-98C5-102CF485267A}" type="TxLink">
            <a:rPr lang="en-US" sz="1800" b="1" i="0" u="none" strike="noStrike">
              <a:solidFill>
                <a:srgbClr val="000000"/>
              </a:solidFill>
              <a:latin typeface="Calibri"/>
              <a:ea typeface="Calibri"/>
              <a:cs typeface="Calibri"/>
            </a:rPr>
            <a:pPr algn="ctr"/>
            <a:t>1000</a:t>
          </a:fld>
          <a:endParaRPr lang="en-IN" sz="1800" b="1"/>
        </a:p>
      </xdr:txBody>
    </xdr:sp>
    <xdr:clientData/>
  </xdr:twoCellAnchor>
  <xdr:twoCellAnchor>
    <xdr:from>
      <xdr:col>0</xdr:col>
      <xdr:colOff>205015</xdr:colOff>
      <xdr:row>7</xdr:row>
      <xdr:rowOff>5445</xdr:rowOff>
    </xdr:from>
    <xdr:to>
      <xdr:col>1</xdr:col>
      <xdr:colOff>1329872</xdr:colOff>
      <xdr:row>10</xdr:row>
      <xdr:rowOff>5445</xdr:rowOff>
    </xdr:to>
    <xdr:sp macro="" textlink="C41">
      <xdr:nvSpPr>
        <xdr:cNvPr id="9" name="Rectangle: Rounded Corners 8">
          <a:extLst>
            <a:ext uri="{FF2B5EF4-FFF2-40B4-BE49-F238E27FC236}">
              <a16:creationId xmlns:a16="http://schemas.microsoft.com/office/drawing/2014/main" id="{F263BA1C-201F-4761-ACDA-294FD71E780F}"/>
            </a:ext>
          </a:extLst>
        </xdr:cNvPr>
        <xdr:cNvSpPr/>
      </xdr:nvSpPr>
      <xdr:spPr>
        <a:xfrm>
          <a:off x="205015" y="1094016"/>
          <a:ext cx="1732643" cy="5442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F1BFF5-809C-4D44-B04F-B2D0854218C3}" type="TxLink">
            <a:rPr lang="en-US" sz="1800" b="1" i="0" u="none" strike="noStrike">
              <a:solidFill>
                <a:srgbClr val="000000"/>
              </a:solidFill>
              <a:latin typeface="Calibri"/>
              <a:ea typeface="Calibri"/>
              <a:cs typeface="Calibri"/>
            </a:rPr>
            <a:pPr algn="ctr"/>
            <a:t> $1,03,23,697 </a:t>
          </a:fld>
          <a:endParaRPr lang="en-IN" sz="1800" b="1"/>
        </a:p>
      </xdr:txBody>
    </xdr:sp>
    <xdr:clientData/>
  </xdr:twoCellAnchor>
  <xdr:twoCellAnchor>
    <xdr:from>
      <xdr:col>0</xdr:col>
      <xdr:colOff>171450</xdr:colOff>
      <xdr:row>14</xdr:row>
      <xdr:rowOff>114299</xdr:rowOff>
    </xdr:from>
    <xdr:to>
      <xdr:col>1</xdr:col>
      <xdr:colOff>1296307</xdr:colOff>
      <xdr:row>17</xdr:row>
      <xdr:rowOff>114299</xdr:rowOff>
    </xdr:to>
    <xdr:sp macro="" textlink="C43">
      <xdr:nvSpPr>
        <xdr:cNvPr id="13" name="Rectangle: Rounded Corners 12">
          <a:extLst>
            <a:ext uri="{FF2B5EF4-FFF2-40B4-BE49-F238E27FC236}">
              <a16:creationId xmlns:a16="http://schemas.microsoft.com/office/drawing/2014/main" id="{E2146A1B-70DA-4C81-9381-616561067650}"/>
            </a:ext>
          </a:extLst>
        </xdr:cNvPr>
        <xdr:cNvSpPr/>
      </xdr:nvSpPr>
      <xdr:spPr>
        <a:xfrm>
          <a:off x="781050" y="2647949"/>
          <a:ext cx="1734457" cy="542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CE9EAD-9EB5-4595-BBC0-CEA66BEDA2E4}" type="TxLink">
            <a:rPr lang="en-US" sz="1800" b="1" i="0" u="none" strike="noStrike">
              <a:solidFill>
                <a:srgbClr val="000000"/>
              </a:solidFill>
              <a:latin typeface="Calibri"/>
              <a:ea typeface="Calibri"/>
              <a:cs typeface="Calibri"/>
            </a:rPr>
            <a:pPr algn="ctr"/>
            <a:t>13321</a:t>
          </a:fld>
          <a:endParaRPr lang="en-IN" sz="1800" b="1"/>
        </a:p>
      </xdr:txBody>
    </xdr:sp>
    <xdr:clientData/>
  </xdr:twoCellAnchor>
  <xdr:twoCellAnchor>
    <xdr:from>
      <xdr:col>1</xdr:col>
      <xdr:colOff>1429204</xdr:colOff>
      <xdr:row>10</xdr:row>
      <xdr:rowOff>142422</xdr:rowOff>
    </xdr:from>
    <xdr:to>
      <xdr:col>4</xdr:col>
      <xdr:colOff>229054</xdr:colOff>
      <xdr:row>14</xdr:row>
      <xdr:rowOff>6350</xdr:rowOff>
    </xdr:to>
    <xdr:sp macro="" textlink="B44">
      <xdr:nvSpPr>
        <xdr:cNvPr id="14" name="Rectangle: Rounded Corners 13">
          <a:extLst>
            <a:ext uri="{FF2B5EF4-FFF2-40B4-BE49-F238E27FC236}">
              <a16:creationId xmlns:a16="http://schemas.microsoft.com/office/drawing/2014/main" id="{BB7B648C-B563-4E0E-9C50-D927FC651E49}"/>
            </a:ext>
          </a:extLst>
        </xdr:cNvPr>
        <xdr:cNvSpPr/>
      </xdr:nvSpPr>
      <xdr:spPr>
        <a:xfrm>
          <a:off x="2648404" y="1952172"/>
          <a:ext cx="2028825" cy="5878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7A60D1-BD1B-4163-B121-E832D4BA7BDC}" type="TxLink">
            <a:rPr lang="en-US" sz="1600" b="0" i="0" u="none" strike="noStrike">
              <a:solidFill>
                <a:srgbClr val="000000"/>
              </a:solidFill>
              <a:latin typeface="Calibri"/>
              <a:ea typeface="Calibri"/>
              <a:cs typeface="Calibri"/>
            </a:rPr>
            <a:pPr algn="ctr"/>
            <a:t>Avg CSAT</a:t>
          </a:fld>
          <a:endParaRPr lang="en-IN" sz="1600" b="0"/>
        </a:p>
      </xdr:txBody>
    </xdr:sp>
    <xdr:clientData/>
  </xdr:twoCellAnchor>
  <xdr:twoCellAnchor>
    <xdr:from>
      <xdr:col>0</xdr:col>
      <xdr:colOff>173265</xdr:colOff>
      <xdr:row>11</xdr:row>
      <xdr:rowOff>16329</xdr:rowOff>
    </xdr:from>
    <xdr:to>
      <xdr:col>1</xdr:col>
      <xdr:colOff>1298122</xdr:colOff>
      <xdr:row>14</xdr:row>
      <xdr:rowOff>16329</xdr:rowOff>
    </xdr:to>
    <xdr:sp macro="" textlink="B43">
      <xdr:nvSpPr>
        <xdr:cNvPr id="15" name="Rectangle: Rounded Corners 14">
          <a:extLst>
            <a:ext uri="{FF2B5EF4-FFF2-40B4-BE49-F238E27FC236}">
              <a16:creationId xmlns:a16="http://schemas.microsoft.com/office/drawing/2014/main" id="{AC0315FE-D2DE-43C2-ABDB-6631D19FE034}"/>
            </a:ext>
          </a:extLst>
        </xdr:cNvPr>
        <xdr:cNvSpPr/>
      </xdr:nvSpPr>
      <xdr:spPr>
        <a:xfrm>
          <a:off x="782865" y="2007054"/>
          <a:ext cx="1734457" cy="542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36FFD2-3CE6-408F-A8CC-A96D863A36D1}" type="TxLink">
            <a:rPr lang="en-US" sz="1600" b="0" i="0" u="none" strike="noStrike">
              <a:solidFill>
                <a:srgbClr val="000000"/>
              </a:solidFill>
              <a:latin typeface="Calibri"/>
              <a:ea typeface="Calibri"/>
              <a:cs typeface="Calibri"/>
            </a:rPr>
            <a:pPr algn="ctr"/>
            <a:t>Total Units Sold</a:t>
          </a:fld>
          <a:endParaRPr lang="en-IN" sz="1600" b="0"/>
        </a:p>
      </xdr:txBody>
    </xdr:sp>
    <xdr:clientData/>
  </xdr:twoCellAnchor>
  <xdr:twoCellAnchor>
    <xdr:from>
      <xdr:col>1</xdr:col>
      <xdr:colOff>1426935</xdr:colOff>
      <xdr:row>14</xdr:row>
      <xdr:rowOff>107496</xdr:rowOff>
    </xdr:from>
    <xdr:to>
      <xdr:col>4</xdr:col>
      <xdr:colOff>226785</xdr:colOff>
      <xdr:row>17</xdr:row>
      <xdr:rowOff>107496</xdr:rowOff>
    </xdr:to>
    <xdr:sp macro="" textlink="C44">
      <xdr:nvSpPr>
        <xdr:cNvPr id="16" name="Rectangle: Rounded Corners 15">
          <a:extLst>
            <a:ext uri="{FF2B5EF4-FFF2-40B4-BE49-F238E27FC236}">
              <a16:creationId xmlns:a16="http://schemas.microsoft.com/office/drawing/2014/main" id="{9A897CAE-78F0-4EDD-923B-7A14A3C8D562}"/>
            </a:ext>
          </a:extLst>
        </xdr:cNvPr>
        <xdr:cNvSpPr/>
      </xdr:nvSpPr>
      <xdr:spPr>
        <a:xfrm>
          <a:off x="2646135" y="2641146"/>
          <a:ext cx="2028825" cy="542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BDDFAB4-086E-41E0-BED1-9332E6A86F09}" type="TxLink">
            <a:rPr lang="en-US" sz="1800" b="1" i="0" u="none" strike="noStrike">
              <a:solidFill>
                <a:srgbClr val="000000"/>
              </a:solidFill>
              <a:latin typeface="Calibri"/>
              <a:ea typeface="Calibri"/>
              <a:cs typeface="Calibri"/>
            </a:rPr>
            <a:pPr algn="ctr"/>
            <a:t>4.01</a:t>
          </a:fld>
          <a:endParaRPr lang="en-IN" sz="1800" b="1"/>
        </a:p>
      </xdr:txBody>
    </xdr:sp>
    <xdr:clientData/>
  </xdr:twoCellAnchor>
  <xdr:twoCellAnchor>
    <xdr:from>
      <xdr:col>1</xdr:col>
      <xdr:colOff>1333500</xdr:colOff>
      <xdr:row>1</xdr:row>
      <xdr:rowOff>36286</xdr:rowOff>
    </xdr:from>
    <xdr:to>
      <xdr:col>11</xdr:col>
      <xdr:colOff>272143</xdr:colOff>
      <xdr:row>2</xdr:row>
      <xdr:rowOff>163285</xdr:rowOff>
    </xdr:to>
    <xdr:sp macro="" textlink="">
      <xdr:nvSpPr>
        <xdr:cNvPr id="18" name="Rectangle: Rounded Corners 17">
          <a:extLst>
            <a:ext uri="{FF2B5EF4-FFF2-40B4-BE49-F238E27FC236}">
              <a16:creationId xmlns:a16="http://schemas.microsoft.com/office/drawing/2014/main" id="{03911870-25D3-82CD-4C59-422E18FC2336}"/>
            </a:ext>
          </a:extLst>
        </xdr:cNvPr>
        <xdr:cNvSpPr/>
      </xdr:nvSpPr>
      <xdr:spPr>
        <a:xfrm>
          <a:off x="1941286" y="36286"/>
          <a:ext cx="8599714" cy="3084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Retail Sales Performance Dashboard</a:t>
          </a:r>
        </a:p>
      </xdr:txBody>
    </xdr:sp>
    <xdr:clientData/>
  </xdr:twoCellAnchor>
  <xdr:twoCellAnchor>
    <xdr:from>
      <xdr:col>2</xdr:col>
      <xdr:colOff>0</xdr:colOff>
      <xdr:row>41</xdr:row>
      <xdr:rowOff>0</xdr:rowOff>
    </xdr:from>
    <xdr:to>
      <xdr:col>2</xdr:col>
      <xdr:colOff>444500</xdr:colOff>
      <xdr:row>43</xdr:row>
      <xdr:rowOff>12700</xdr:rowOff>
    </xdr:to>
    <xdr:sp macro="" textlink="">
      <xdr:nvSpPr>
        <xdr:cNvPr id="1025" name="Text Box 1">
          <a:extLst>
            <a:ext uri="{FF2B5EF4-FFF2-40B4-BE49-F238E27FC236}">
              <a16:creationId xmlns:a16="http://schemas.microsoft.com/office/drawing/2014/main" id="{C91195FD-5F13-7F19-2E3A-13F025F3DC0F}"/>
            </a:ext>
          </a:extLst>
        </xdr:cNvPr>
        <xdr:cNvSpPr txBox="1">
          <a:spLocks noChangeArrowheads="1"/>
        </xdr:cNvSpPr>
      </xdr:nvSpPr>
      <xdr:spPr bwMode="auto">
        <a:xfrm>
          <a:off x="2190750" y="7366000"/>
          <a:ext cx="444500" cy="3810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Calibri"/>
              <a:ea typeface="Calibri"/>
              <a:cs typeface="Calibri"/>
            </a:rPr>
            <a:t>Retail 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ra Noor" refreshedDate="46248.779500810182" createdVersion="8" refreshedVersion="8" minRefreshableVersion="3" recordCount="1000" xr:uid="{985EFCB2-2534-4EB3-B124-B6159FF07DB4}">
  <cacheSource type="worksheet">
    <worksheetSource name="tblsales"/>
  </cacheSource>
  <cacheFields count="11">
    <cacheField name="OrderID" numFmtId="0">
      <sharedItems/>
    </cacheField>
    <cacheField name="OrderDate" numFmtId="14">
      <sharedItems containsSemiMixedTypes="0" containsNonDate="0" containsDate="1" containsString="0" minDate="2025-01-01T00:00:00" maxDate="2026-01-01T00:00:00" count="337">
        <d v="2025-08-02T00:00:00"/>
        <d v="2025-01-18T00:00:00"/>
        <d v="2025-11-09T00:00:00"/>
        <d v="2025-08-07T00:00:00"/>
        <d v="2025-10-31T00:00:00"/>
        <d v="2025-07-07T00:00:00"/>
        <d v="2025-05-25T00:00:00"/>
        <d v="2025-05-14T00:00:00"/>
        <d v="2025-11-15T00:00:00"/>
        <d v="2025-12-11T00:00:00"/>
        <d v="2025-08-20T00:00:00"/>
        <d v="2025-01-16T00:00:00"/>
        <d v="2025-02-01T00:00:00"/>
        <d v="2025-03-31T00:00:00"/>
        <d v="2025-04-17T00:00:00"/>
        <d v="2025-03-27T00:00:00"/>
        <d v="2025-12-24T00:00:00"/>
        <d v="2025-01-12T00:00:00"/>
        <d v="2025-09-26T00:00:00"/>
        <d v="2025-05-10T00:00:00"/>
        <d v="2025-11-17T00:00:00"/>
        <d v="2025-09-22T00:00:00"/>
        <d v="2025-03-13T00:00:00"/>
        <d v="2025-03-06T00:00:00"/>
        <d v="2025-02-05T00:00:00"/>
        <d v="2025-05-31T00:00:00"/>
        <d v="2025-07-22T00:00:00"/>
        <d v="2025-09-16T00:00:00"/>
        <d v="2025-04-23T00:00:00"/>
        <d v="2025-01-08T00:00:00"/>
        <d v="2025-09-11T00:00:00"/>
        <d v="2025-09-12T00:00:00"/>
        <d v="2025-10-07T00:00:00"/>
        <d v="2025-12-31T00:00:00"/>
        <d v="2025-10-08T00:00:00"/>
        <d v="2025-07-27T00:00:00"/>
        <d v="2025-03-19T00:00:00"/>
        <d v="2025-10-30T00:00:00"/>
        <d v="2025-12-25T00:00:00"/>
        <d v="2025-02-21T00:00:00"/>
        <d v="2025-02-18T00:00:00"/>
        <d v="2025-07-14T00:00:00"/>
        <d v="2025-02-14T00:00:00"/>
        <d v="2025-10-23T00:00:00"/>
        <d v="2025-10-14T00:00:00"/>
        <d v="2025-09-04T00:00:00"/>
        <d v="2025-10-21T00:00:00"/>
        <d v="2025-05-16T00:00:00"/>
        <d v="2025-04-07T00:00:00"/>
        <d v="2025-08-09T00:00:00"/>
        <d v="2025-11-06T00:00:00"/>
        <d v="2025-05-15T00:00:00"/>
        <d v="2025-03-22T00:00:00"/>
        <d v="2025-07-18T00:00:00"/>
        <d v="2025-03-18T00:00:00"/>
        <d v="2025-04-01T00:00:00"/>
        <d v="2025-11-03T00:00:00"/>
        <d v="2025-12-05T00:00:00"/>
        <d v="2025-11-01T00:00:00"/>
        <d v="2025-03-04T00:00:00"/>
        <d v="2025-07-21T00:00:00"/>
        <d v="2025-06-10T00:00:00"/>
        <d v="2025-02-13T00:00:00"/>
        <d v="2025-11-13T00:00:00"/>
        <d v="2025-04-05T00:00:00"/>
        <d v="2025-09-08T00:00:00"/>
        <d v="2025-06-27T00:00:00"/>
        <d v="2025-02-25T00:00:00"/>
        <d v="2025-05-06T00:00:00"/>
        <d v="2025-11-16T00:00:00"/>
        <d v="2025-06-04T00:00:00"/>
        <d v="2025-11-04T00:00:00"/>
        <d v="2025-06-02T00:00:00"/>
        <d v="2025-08-21T00:00:00"/>
        <d v="2025-06-11T00:00:00"/>
        <d v="2025-01-10T00:00:00"/>
        <d v="2025-01-11T00:00:00"/>
        <d v="2025-07-11T00:00:00"/>
        <d v="2025-09-03T00:00:00"/>
        <d v="2025-12-22T00:00:00"/>
        <d v="2025-09-10T00:00:00"/>
        <d v="2025-03-14T00:00:00"/>
        <d v="2025-11-20T00:00:00"/>
        <d v="2025-01-06T00:00:00"/>
        <d v="2025-06-30T00:00:00"/>
        <d v="2025-07-19T00:00:00"/>
        <d v="2025-02-19T00:00:00"/>
        <d v="2025-09-13T00:00:00"/>
        <d v="2025-04-24T00:00:00"/>
        <d v="2025-06-05T00:00:00"/>
        <d v="2025-12-28T00:00:00"/>
        <d v="2025-12-17T00:00:00"/>
        <d v="2025-06-19T00:00:00"/>
        <d v="2025-10-22T00:00:00"/>
        <d v="2025-06-12T00:00:00"/>
        <d v="2025-11-12T00:00:00"/>
        <d v="2025-04-20T00:00:00"/>
        <d v="2025-10-02T00:00:00"/>
        <d v="2025-07-10T00:00:00"/>
        <d v="2025-09-20T00:00:00"/>
        <d v="2025-11-10T00:00:00"/>
        <d v="2025-01-04T00:00:00"/>
        <d v="2025-04-25T00:00:00"/>
        <d v="2025-10-24T00:00:00"/>
        <d v="2025-09-19T00:00:00"/>
        <d v="2025-01-22T00:00:00"/>
        <d v="2025-11-18T00:00:00"/>
        <d v="2025-01-14T00:00:00"/>
        <d v="2025-08-23T00:00:00"/>
        <d v="2025-01-05T00:00:00"/>
        <d v="2025-09-21T00:00:00"/>
        <d v="2025-08-14T00:00:00"/>
        <d v="2025-05-02T00:00:00"/>
        <d v="2025-08-06T00:00:00"/>
        <d v="2025-08-01T00:00:00"/>
        <d v="2025-12-02T00:00:00"/>
        <d v="2025-06-29T00:00:00"/>
        <d v="2025-08-24T00:00:00"/>
        <d v="2025-12-08T00:00:00"/>
        <d v="2025-08-16T00:00:00"/>
        <d v="2025-06-25T00:00:00"/>
        <d v="2025-07-08T00:00:00"/>
        <d v="2025-09-15T00:00:00"/>
        <d v="2025-11-24T00:00:00"/>
        <d v="2025-12-16T00:00:00"/>
        <d v="2025-04-08T00:00:00"/>
        <d v="2025-11-27T00:00:00"/>
        <d v="2025-05-18T00:00:00"/>
        <d v="2025-07-01T00:00:00"/>
        <d v="2025-06-21T00:00:00"/>
        <d v="2025-06-28T00:00:00"/>
        <d v="2025-11-19T00:00:00"/>
        <d v="2025-03-17T00:00:00"/>
        <d v="2025-05-19T00:00:00"/>
        <d v="2025-05-11T00:00:00"/>
        <d v="2025-01-29T00:00:00"/>
        <d v="2025-07-23T00:00:00"/>
        <d v="2025-03-25T00:00:00"/>
        <d v="2025-12-03T00:00:00"/>
        <d v="2025-02-10T00:00:00"/>
        <d v="2025-02-24T00:00:00"/>
        <d v="2025-07-16T00:00:00"/>
        <d v="2025-02-26T00:00:00"/>
        <d v="2025-04-19T00:00:00"/>
        <d v="2025-10-16T00:00:00"/>
        <d v="2025-04-06T00:00:00"/>
        <d v="2025-04-16T00:00:00"/>
        <d v="2025-10-01T00:00:00"/>
        <d v="2025-06-09T00:00:00"/>
        <d v="2025-03-15T00:00:00"/>
        <d v="2025-10-26T00:00:00"/>
        <d v="2025-09-29T00:00:00"/>
        <d v="2025-08-27T00:00:00"/>
        <d v="2025-07-05T00:00:00"/>
        <d v="2025-09-02T00:00:00"/>
        <d v="2025-03-21T00:00:00"/>
        <d v="2025-07-06T00:00:00"/>
        <d v="2025-01-30T00:00:00"/>
        <d v="2025-12-27T00:00:00"/>
        <d v="2025-08-17T00:00:00"/>
        <d v="2025-05-29T00:00:00"/>
        <d v="2025-02-28T00:00:00"/>
        <d v="2025-05-08T00:00:00"/>
        <d v="2025-05-27T00:00:00"/>
        <d v="2025-02-06T00:00:00"/>
        <d v="2025-06-17T00:00:00"/>
        <d v="2025-11-28T00:00:00"/>
        <d v="2025-09-01T00:00:00"/>
        <d v="2025-12-01T00:00:00"/>
        <d v="2025-01-17T00:00:00"/>
        <d v="2025-01-20T00:00:00"/>
        <d v="2025-09-24T00:00:00"/>
        <d v="2025-06-20T00:00:00"/>
        <d v="2025-05-07T00:00:00"/>
        <d v="2025-06-16T00:00:00"/>
        <d v="2025-04-26T00:00:00"/>
        <d v="2025-04-30T00:00:00"/>
        <d v="2025-04-21T00:00:00"/>
        <d v="2025-03-07T00:00:00"/>
        <d v="2025-08-22T00:00:00"/>
        <d v="2025-08-28T00:00:00"/>
        <d v="2025-09-14T00:00:00"/>
        <d v="2025-12-09T00:00:00"/>
        <d v="2025-10-27T00:00:00"/>
        <d v="2025-01-24T00:00:00"/>
        <d v="2025-03-09T00:00:00"/>
        <d v="2025-07-30T00:00:00"/>
        <d v="2025-06-15T00:00:00"/>
        <d v="2025-02-12T00:00:00"/>
        <d v="2025-03-24T00:00:00"/>
        <d v="2025-04-11T00:00:00"/>
        <d v="2025-11-14T00:00:00"/>
        <d v="2025-01-03T00:00:00"/>
        <d v="2025-07-12T00:00:00"/>
        <d v="2025-12-07T00:00:00"/>
        <d v="2025-10-13T00:00:00"/>
        <d v="2025-01-27T00:00:00"/>
        <d v="2025-02-15T00:00:00"/>
        <d v="2025-09-09T00:00:00"/>
        <d v="2025-05-01T00:00:00"/>
        <d v="2025-02-20T00:00:00"/>
        <d v="2025-03-12T00:00:00"/>
        <d v="2025-04-10T00:00:00"/>
        <d v="2025-10-28T00:00:00"/>
        <d v="2025-08-31T00:00:00"/>
        <d v="2025-10-09T00:00:00"/>
        <d v="2025-03-29T00:00:00"/>
        <d v="2025-10-06T00:00:00"/>
        <d v="2025-04-12T00:00:00"/>
        <d v="2025-02-07T00:00:00"/>
        <d v="2025-05-09T00:00:00"/>
        <d v="2025-10-03T00:00:00"/>
        <d v="2025-05-17T00:00:00"/>
        <d v="2025-12-06T00:00:00"/>
        <d v="2025-04-18T00:00:00"/>
        <d v="2025-02-08T00:00:00"/>
        <d v="2025-01-21T00:00:00"/>
        <d v="2025-01-23T00:00:00"/>
        <d v="2025-07-29T00:00:00"/>
        <d v="2025-11-08T00:00:00"/>
        <d v="2025-03-30T00:00:00"/>
        <d v="2025-11-23T00:00:00"/>
        <d v="2025-05-03T00:00:00"/>
        <d v="2025-05-22T00:00:00"/>
        <d v="2025-02-03T00:00:00"/>
        <d v="2025-06-01T00:00:00"/>
        <d v="2025-08-30T00:00:00"/>
        <d v="2025-02-27T00:00:00"/>
        <d v="2025-03-11T00:00:00"/>
        <d v="2025-11-22T00:00:00"/>
        <d v="2025-11-05T00:00:00"/>
        <d v="2025-09-27T00:00:00"/>
        <d v="2025-08-08T00:00:00"/>
        <d v="2025-05-30T00:00:00"/>
        <d v="2025-12-10T00:00:00"/>
        <d v="2025-07-26T00:00:00"/>
        <d v="2025-08-12T00:00:00"/>
        <d v="2025-11-26T00:00:00"/>
        <d v="2025-04-27T00:00:00"/>
        <d v="2025-04-29T00:00:00"/>
        <d v="2025-08-15T00:00:00"/>
        <d v="2025-10-04T00:00:00"/>
        <d v="2025-10-12T00:00:00"/>
        <d v="2025-12-14T00:00:00"/>
        <d v="2025-08-26T00:00:00"/>
        <d v="2025-07-03T00:00:00"/>
        <d v="2025-01-31T00:00:00"/>
        <d v="2025-01-15T00:00:00"/>
        <d v="2025-12-18T00:00:00"/>
        <d v="2025-10-11T00:00:00"/>
        <d v="2025-06-22T00:00:00"/>
        <d v="2025-08-29T00:00:00"/>
        <d v="2025-10-29T00:00:00"/>
        <d v="2025-06-24T00:00:00"/>
        <d v="2025-06-08T00:00:00"/>
        <d v="2025-08-11T00:00:00"/>
        <d v="2025-04-22T00:00:00"/>
        <d v="2025-03-10T00:00:00"/>
        <d v="2025-11-02T00:00:00"/>
        <d v="2025-06-23T00:00:00"/>
        <d v="2025-10-20T00:00:00"/>
        <d v="2025-02-22T00:00:00"/>
        <d v="2025-07-09T00:00:00"/>
        <d v="2025-12-23T00:00:00"/>
        <d v="2025-04-15T00:00:00"/>
        <d v="2025-04-04T00:00:00"/>
        <d v="2025-03-08T00:00:00"/>
        <d v="2025-10-15T00:00:00"/>
        <d v="2025-02-11T00:00:00"/>
        <d v="2025-11-25T00:00:00"/>
        <d v="2025-12-12T00:00:00"/>
        <d v="2025-09-30T00:00:00"/>
        <d v="2025-04-03T00:00:00"/>
        <d v="2025-08-10T00:00:00"/>
        <d v="2025-05-05T00:00:00"/>
        <d v="2025-02-17T00:00:00"/>
        <d v="2025-05-26T00:00:00"/>
        <d v="2025-07-31T00:00:00"/>
        <d v="2025-03-16T00:00:00"/>
        <d v="2025-04-02T00:00:00"/>
        <d v="2025-10-18T00:00:00"/>
        <d v="2025-03-20T00:00:00"/>
        <d v="2025-06-07T00:00:00"/>
        <d v="2025-07-20T00:00:00"/>
        <d v="2025-09-28T00:00:00"/>
        <d v="2025-12-29T00:00:00"/>
        <d v="2025-07-04T00:00:00"/>
        <d v="2025-02-16T00:00:00"/>
        <d v="2025-01-19T00:00:00"/>
        <d v="2025-03-28T00:00:00"/>
        <d v="2025-05-04T00:00:00"/>
        <d v="2025-04-13T00:00:00"/>
        <d v="2025-05-24T00:00:00"/>
        <d v="2025-10-25T00:00:00"/>
        <d v="2025-04-09T00:00:00"/>
        <d v="2025-10-10T00:00:00"/>
        <d v="2025-11-30T00:00:00"/>
        <d v="2025-07-25T00:00:00"/>
        <d v="2025-12-30T00:00:00"/>
        <d v="2025-02-09T00:00:00"/>
        <d v="2025-01-26T00:00:00"/>
        <d v="2025-09-17T00:00:00"/>
        <d v="2025-09-05T00:00:00"/>
        <d v="2025-08-05T00:00:00"/>
        <d v="2025-05-28T00:00:00"/>
        <d v="2025-06-03T00:00:00"/>
        <d v="2025-05-20T00:00:00"/>
        <d v="2025-05-13T00:00:00"/>
        <d v="2025-03-23T00:00:00"/>
        <d v="2025-06-14T00:00:00"/>
        <d v="2025-11-07T00:00:00"/>
        <d v="2025-01-28T00:00:00"/>
        <d v="2025-02-04T00:00:00"/>
        <d v="2025-12-13T00:00:00"/>
        <d v="2025-02-23T00:00:00"/>
        <d v="2025-09-25T00:00:00"/>
        <d v="2025-05-21T00:00:00"/>
        <d v="2025-04-14T00:00:00"/>
        <d v="2025-01-01T00:00:00"/>
        <d v="2025-01-13T00:00:00"/>
        <d v="2025-10-05T00:00:00"/>
        <d v="2025-10-17T00:00:00"/>
        <d v="2025-03-26T00:00:00"/>
        <d v="2025-08-03T00:00:00"/>
        <d v="2025-03-02T00:00:00"/>
        <d v="2025-07-15T00:00:00"/>
        <d v="2025-09-23T00:00:00"/>
        <d v="2025-07-17T00:00:00"/>
        <d v="2025-08-13T00:00:00"/>
        <d v="2025-01-02T00:00:00"/>
        <d v="2025-12-04T00:00:00"/>
        <d v="2025-06-18T00:00:00"/>
        <d v="2025-01-07T00:00:00"/>
        <d v="2025-08-04T00:00:00"/>
        <d v="2025-12-21T00:00:00"/>
        <d v="2025-07-13T00:00:00"/>
        <d v="2025-01-25T00:00:00"/>
      </sharedItems>
      <fieldGroup par="10"/>
    </cacheField>
    <cacheField name="Region" numFmtId="0">
      <sharedItems count="4">
        <s v="South"/>
        <s v="West"/>
        <s v="East"/>
        <s v="North"/>
      </sharedItems>
    </cacheField>
    <cacheField name="Category" numFmtId="0">
      <sharedItems count="3">
        <s v="Furniture"/>
        <s v="Electronics"/>
        <s v="Office Supplies"/>
      </sharedItems>
    </cacheField>
    <cacheField name="Product" numFmtId="0">
      <sharedItems count="9">
        <s v="Desk"/>
        <s v="Chair"/>
        <s v="Headphones"/>
        <s v="Pen"/>
        <s v="Laptop"/>
        <s v="Tablet"/>
        <s v="Notebook"/>
        <s v="Paper"/>
        <s v="Cabinet"/>
      </sharedItems>
    </cacheField>
    <cacheField name="UnitsSold" numFmtId="0">
      <sharedItems containsSemiMixedTypes="0" containsString="0" containsNumber="1" containsInteger="1" minValue="1" maxValue="25"/>
    </cacheField>
    <cacheField name="UnitPrice" numFmtId="0">
      <sharedItems containsSemiMixedTypes="0" containsString="0" containsNumber="1" minValue="5.28" maxValue="1499.94"/>
    </cacheField>
    <cacheField name="Revenue" numFmtId="0">
      <sharedItems containsSemiMixedTypes="0" containsString="0" containsNumber="1" minValue="18.48" maxValue="35958.239999999998"/>
    </cacheField>
    <cacheField name="CustomerSatisfaction" numFmtId="0">
      <sharedItems containsSemiMixedTypes="0" containsString="0" containsNumber="1" minValue="3" maxValue="5"/>
    </cacheField>
    <cacheField name="Days (Order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445765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2"/>
    <x v="0"/>
    <x v="0"/>
    <x v="0"/>
    <x v="0"/>
    <n v="4"/>
    <n v="594.04999999999995"/>
    <n v="2376.1999999999998"/>
    <n v="4.4000000000000004"/>
  </r>
  <r>
    <s v="ORD10003"/>
    <x v="1"/>
    <x v="1"/>
    <x v="0"/>
    <x v="1"/>
    <n v="20"/>
    <n v="1162.1500000000001"/>
    <n v="23243"/>
    <n v="4.3"/>
  </r>
  <r>
    <s v="ORD10004"/>
    <x v="1"/>
    <x v="1"/>
    <x v="1"/>
    <x v="2"/>
    <n v="17"/>
    <n v="866.81"/>
    <n v="14735.77"/>
    <n v="3.7"/>
  </r>
  <r>
    <s v="ORD10005"/>
    <x v="2"/>
    <x v="2"/>
    <x v="2"/>
    <x v="3"/>
    <n v="12"/>
    <n v="1456.43"/>
    <n v="17477.16"/>
    <n v="4.2"/>
  </r>
  <r>
    <s v="ORD10006"/>
    <x v="3"/>
    <x v="0"/>
    <x v="1"/>
    <x v="4"/>
    <n v="20"/>
    <n v="817.39"/>
    <n v="16347.8"/>
    <n v="3.4"/>
  </r>
  <r>
    <s v="ORD10007"/>
    <x v="4"/>
    <x v="1"/>
    <x v="1"/>
    <x v="5"/>
    <n v="7"/>
    <n v="1014.6"/>
    <n v="7102.2"/>
    <n v="3.3"/>
  </r>
  <r>
    <s v="ORD10008"/>
    <x v="5"/>
    <x v="1"/>
    <x v="1"/>
    <x v="5"/>
    <n v="23"/>
    <n v="1151.79"/>
    <n v="26491.17"/>
    <n v="3"/>
  </r>
  <r>
    <s v="ORD10009"/>
    <x v="6"/>
    <x v="2"/>
    <x v="1"/>
    <x v="4"/>
    <n v="19"/>
    <n v="1149.69"/>
    <n v="21844.11"/>
    <n v="3.6"/>
  </r>
  <r>
    <s v="ORD10010"/>
    <x v="7"/>
    <x v="3"/>
    <x v="2"/>
    <x v="3"/>
    <n v="22"/>
    <n v="1402.06"/>
    <n v="30845.32"/>
    <n v="3.5"/>
  </r>
  <r>
    <s v="ORD10011"/>
    <x v="8"/>
    <x v="1"/>
    <x v="1"/>
    <x v="5"/>
    <n v="12"/>
    <n v="867.3"/>
    <n v="10407.6"/>
    <n v="4.0999999999999996"/>
  </r>
  <r>
    <s v="ORD10012"/>
    <x v="1"/>
    <x v="1"/>
    <x v="1"/>
    <x v="5"/>
    <n v="15"/>
    <n v="391.94"/>
    <n v="5879.1"/>
    <n v="4.9000000000000004"/>
  </r>
  <r>
    <s v="ORD10013"/>
    <x v="9"/>
    <x v="2"/>
    <x v="2"/>
    <x v="6"/>
    <n v="2"/>
    <n v="519.08000000000004"/>
    <n v="1038.1600000000001"/>
    <n v="4.5"/>
  </r>
  <r>
    <s v="ORD10014"/>
    <x v="10"/>
    <x v="2"/>
    <x v="2"/>
    <x v="6"/>
    <n v="10"/>
    <n v="987.23"/>
    <n v="9872.2999999999993"/>
    <n v="4.5999999999999996"/>
  </r>
  <r>
    <s v="ORD10015"/>
    <x v="11"/>
    <x v="2"/>
    <x v="1"/>
    <x v="4"/>
    <n v="8"/>
    <n v="1341.65"/>
    <n v="10733.2"/>
    <n v="4"/>
  </r>
  <r>
    <s v="ORD10016"/>
    <x v="12"/>
    <x v="1"/>
    <x v="0"/>
    <x v="1"/>
    <n v="10"/>
    <n v="405.17"/>
    <n v="4051.7"/>
    <n v="4.5"/>
  </r>
  <r>
    <s v="ORD10017"/>
    <x v="13"/>
    <x v="1"/>
    <x v="1"/>
    <x v="4"/>
    <n v="3"/>
    <n v="1261.8800000000001"/>
    <n v="3785.64"/>
    <n v="4.5"/>
  </r>
  <r>
    <s v="ORD10018"/>
    <x v="14"/>
    <x v="3"/>
    <x v="2"/>
    <x v="3"/>
    <n v="17"/>
    <n v="742.5"/>
    <n v="12622.5"/>
    <n v="4"/>
  </r>
  <r>
    <s v="ORD10019"/>
    <x v="15"/>
    <x v="3"/>
    <x v="2"/>
    <x v="3"/>
    <n v="18"/>
    <n v="532.83000000000004"/>
    <n v="9590.94"/>
    <n v="4.7"/>
  </r>
  <r>
    <s v="ORD10020"/>
    <x v="16"/>
    <x v="2"/>
    <x v="1"/>
    <x v="4"/>
    <n v="2"/>
    <n v="361.73"/>
    <n v="723.46"/>
    <n v="3.9"/>
  </r>
  <r>
    <s v="ORD10021"/>
    <x v="17"/>
    <x v="1"/>
    <x v="2"/>
    <x v="3"/>
    <n v="19"/>
    <n v="597.28"/>
    <n v="11348.32"/>
    <n v="4.2"/>
  </r>
  <r>
    <s v="ORD10022"/>
    <x v="18"/>
    <x v="2"/>
    <x v="1"/>
    <x v="2"/>
    <n v="11"/>
    <n v="491.48"/>
    <n v="5406.28"/>
    <n v="4.0999999999999996"/>
  </r>
  <r>
    <s v="ORD10023"/>
    <x v="19"/>
    <x v="2"/>
    <x v="0"/>
    <x v="1"/>
    <n v="1"/>
    <n v="1249.5899999999999"/>
    <n v="1249.5899999999999"/>
    <n v="3.8"/>
  </r>
  <r>
    <s v="ORD10024"/>
    <x v="20"/>
    <x v="2"/>
    <x v="1"/>
    <x v="5"/>
    <n v="10"/>
    <n v="947.84"/>
    <n v="9478.4"/>
    <n v="4.3"/>
  </r>
  <r>
    <s v="ORD10025"/>
    <x v="21"/>
    <x v="0"/>
    <x v="2"/>
    <x v="7"/>
    <n v="21"/>
    <n v="658.43"/>
    <n v="13827.03"/>
    <n v="4.5"/>
  </r>
  <r>
    <s v="ORD10026"/>
    <x v="22"/>
    <x v="3"/>
    <x v="0"/>
    <x v="1"/>
    <n v="21"/>
    <n v="1483.38"/>
    <n v="31150.98"/>
    <n v="4.3"/>
  </r>
  <r>
    <s v="ORD10027"/>
    <x v="23"/>
    <x v="1"/>
    <x v="1"/>
    <x v="4"/>
    <n v="11"/>
    <n v="1137.79"/>
    <n v="12515.69"/>
    <n v="4.9000000000000004"/>
  </r>
  <r>
    <s v="ORD10028"/>
    <x v="15"/>
    <x v="1"/>
    <x v="2"/>
    <x v="3"/>
    <n v="12"/>
    <n v="1452.65"/>
    <n v="17431.8"/>
    <n v="3.5"/>
  </r>
  <r>
    <s v="ORD10029"/>
    <x v="24"/>
    <x v="1"/>
    <x v="0"/>
    <x v="0"/>
    <n v="10"/>
    <n v="1223.71"/>
    <n v="12237.1"/>
    <n v="4.2"/>
  </r>
  <r>
    <s v="ORD10030"/>
    <x v="25"/>
    <x v="0"/>
    <x v="1"/>
    <x v="4"/>
    <n v="16"/>
    <n v="969.77"/>
    <n v="15516.32"/>
    <n v="3.1"/>
  </r>
  <r>
    <s v="ORD10031"/>
    <x v="26"/>
    <x v="2"/>
    <x v="0"/>
    <x v="1"/>
    <n v="11"/>
    <n v="120.88"/>
    <n v="1329.68"/>
    <n v="4.3"/>
  </r>
  <r>
    <s v="ORD10032"/>
    <x v="27"/>
    <x v="2"/>
    <x v="2"/>
    <x v="3"/>
    <n v="3"/>
    <n v="542.76"/>
    <n v="1628.28"/>
    <n v="3.9"/>
  </r>
  <r>
    <s v="ORD10033"/>
    <x v="28"/>
    <x v="2"/>
    <x v="0"/>
    <x v="0"/>
    <n v="6"/>
    <n v="172.45"/>
    <n v="1034.7"/>
    <n v="3.5"/>
  </r>
  <r>
    <s v="ORD10034"/>
    <x v="10"/>
    <x v="2"/>
    <x v="1"/>
    <x v="5"/>
    <n v="12"/>
    <n v="304.66000000000003"/>
    <n v="3655.92"/>
    <n v="4.4000000000000004"/>
  </r>
  <r>
    <s v="ORD10035"/>
    <x v="29"/>
    <x v="0"/>
    <x v="1"/>
    <x v="4"/>
    <n v="25"/>
    <n v="873.49"/>
    <n v="21837.25"/>
    <n v="3.6"/>
  </r>
  <r>
    <s v="ORD10036"/>
    <x v="30"/>
    <x v="1"/>
    <x v="0"/>
    <x v="8"/>
    <n v="8"/>
    <n v="250.04"/>
    <n v="2000.32"/>
    <n v="4.4000000000000004"/>
  </r>
  <r>
    <s v="ORD10037"/>
    <x v="9"/>
    <x v="1"/>
    <x v="1"/>
    <x v="4"/>
    <n v="15"/>
    <n v="1014.34"/>
    <n v="15215.1"/>
    <n v="5"/>
  </r>
  <r>
    <s v="ORD10038"/>
    <x v="31"/>
    <x v="3"/>
    <x v="0"/>
    <x v="0"/>
    <n v="16"/>
    <n v="978.85"/>
    <n v="15661.6"/>
    <n v="4.7"/>
  </r>
  <r>
    <s v="ORD10039"/>
    <x v="11"/>
    <x v="2"/>
    <x v="0"/>
    <x v="0"/>
    <n v="8"/>
    <n v="812.72"/>
    <n v="6501.76"/>
    <n v="4.4000000000000004"/>
  </r>
  <r>
    <s v="ORD10040"/>
    <x v="32"/>
    <x v="3"/>
    <x v="0"/>
    <x v="1"/>
    <n v="9"/>
    <n v="158.94"/>
    <n v="1430.46"/>
    <n v="3.8"/>
  </r>
  <r>
    <s v="ORD10041"/>
    <x v="18"/>
    <x v="3"/>
    <x v="1"/>
    <x v="5"/>
    <n v="19"/>
    <n v="1121.45"/>
    <n v="21307.55"/>
    <n v="4.2"/>
  </r>
  <r>
    <s v="ORD10042"/>
    <x v="33"/>
    <x v="0"/>
    <x v="0"/>
    <x v="0"/>
    <n v="25"/>
    <n v="813.37"/>
    <n v="20334.25"/>
    <n v="4"/>
  </r>
  <r>
    <s v="ORD10043"/>
    <x v="34"/>
    <x v="2"/>
    <x v="0"/>
    <x v="8"/>
    <n v="24"/>
    <n v="783.73"/>
    <n v="18809.52"/>
    <n v="4.7"/>
  </r>
  <r>
    <s v="ORD10044"/>
    <x v="35"/>
    <x v="0"/>
    <x v="0"/>
    <x v="1"/>
    <n v="25"/>
    <n v="243.62"/>
    <n v="6090.5"/>
    <n v="3.9"/>
  </r>
  <r>
    <s v="ORD10045"/>
    <x v="36"/>
    <x v="0"/>
    <x v="2"/>
    <x v="6"/>
    <n v="5"/>
    <n v="1333.61"/>
    <n v="6668.05"/>
    <n v="4.7"/>
  </r>
  <r>
    <s v="ORD10046"/>
    <x v="37"/>
    <x v="2"/>
    <x v="2"/>
    <x v="6"/>
    <n v="2"/>
    <n v="1290.21"/>
    <n v="2580.42"/>
    <n v="4.3"/>
  </r>
  <r>
    <s v="ORD10047"/>
    <x v="38"/>
    <x v="0"/>
    <x v="1"/>
    <x v="5"/>
    <n v="10"/>
    <n v="299.87"/>
    <n v="2998.7"/>
    <n v="4.8"/>
  </r>
  <r>
    <s v="ORD10048"/>
    <x v="37"/>
    <x v="0"/>
    <x v="2"/>
    <x v="7"/>
    <n v="3"/>
    <n v="468.8"/>
    <n v="1406.4"/>
    <n v="3.3"/>
  </r>
  <r>
    <s v="ORD10049"/>
    <x v="39"/>
    <x v="1"/>
    <x v="2"/>
    <x v="3"/>
    <n v="6"/>
    <n v="321.57"/>
    <n v="1929.42"/>
    <n v="3.8"/>
  </r>
  <r>
    <s v="ORD10050"/>
    <x v="40"/>
    <x v="3"/>
    <x v="0"/>
    <x v="0"/>
    <n v="12"/>
    <n v="121.76"/>
    <n v="1461.12"/>
    <n v="3.3"/>
  </r>
  <r>
    <s v="ORD10051"/>
    <x v="41"/>
    <x v="1"/>
    <x v="0"/>
    <x v="8"/>
    <n v="14"/>
    <n v="1269.8699999999999"/>
    <n v="17778.18"/>
    <n v="3.4"/>
  </r>
  <r>
    <s v="ORD10052"/>
    <x v="42"/>
    <x v="3"/>
    <x v="2"/>
    <x v="7"/>
    <n v="18"/>
    <n v="414.09"/>
    <n v="7453.62"/>
    <n v="4.7"/>
  </r>
  <r>
    <s v="ORD10053"/>
    <x v="43"/>
    <x v="0"/>
    <x v="2"/>
    <x v="6"/>
    <n v="24"/>
    <n v="697.51"/>
    <n v="16740.240000000002"/>
    <n v="3.6"/>
  </r>
  <r>
    <s v="ORD10054"/>
    <x v="44"/>
    <x v="0"/>
    <x v="2"/>
    <x v="3"/>
    <n v="15"/>
    <n v="1334.32"/>
    <n v="20014.8"/>
    <n v="3.8"/>
  </r>
  <r>
    <s v="ORD10055"/>
    <x v="45"/>
    <x v="3"/>
    <x v="1"/>
    <x v="4"/>
    <n v="17"/>
    <n v="1442.07"/>
    <n v="24515.19"/>
    <n v="4.5"/>
  </r>
  <r>
    <s v="ORD10056"/>
    <x v="46"/>
    <x v="2"/>
    <x v="2"/>
    <x v="6"/>
    <n v="23"/>
    <n v="504.85"/>
    <n v="11611.55"/>
    <n v="4.5999999999999996"/>
  </r>
  <r>
    <s v="ORD10057"/>
    <x v="47"/>
    <x v="1"/>
    <x v="2"/>
    <x v="7"/>
    <n v="21"/>
    <n v="318.12"/>
    <n v="6680.52"/>
    <n v="3.5"/>
  </r>
  <r>
    <s v="ORD10058"/>
    <x v="48"/>
    <x v="0"/>
    <x v="2"/>
    <x v="6"/>
    <n v="2"/>
    <n v="454.24"/>
    <n v="908.48"/>
    <n v="4.0999999999999996"/>
  </r>
  <r>
    <s v="ORD10059"/>
    <x v="49"/>
    <x v="2"/>
    <x v="0"/>
    <x v="8"/>
    <n v="13"/>
    <n v="1487.02"/>
    <n v="19331.259999999998"/>
    <n v="4.3"/>
  </r>
  <r>
    <s v="ORD10060"/>
    <x v="50"/>
    <x v="1"/>
    <x v="1"/>
    <x v="4"/>
    <n v="1"/>
    <n v="1074.97"/>
    <n v="1074.97"/>
    <n v="4.9000000000000004"/>
  </r>
  <r>
    <s v="ORD10061"/>
    <x v="51"/>
    <x v="2"/>
    <x v="2"/>
    <x v="3"/>
    <n v="13"/>
    <n v="41.43"/>
    <n v="538.59"/>
    <n v="4"/>
  </r>
  <r>
    <s v="ORD10062"/>
    <x v="52"/>
    <x v="0"/>
    <x v="1"/>
    <x v="5"/>
    <n v="10"/>
    <n v="332.25"/>
    <n v="3322.5"/>
    <n v="3.5"/>
  </r>
  <r>
    <s v="ORD10063"/>
    <x v="53"/>
    <x v="3"/>
    <x v="1"/>
    <x v="2"/>
    <n v="20"/>
    <n v="1447.26"/>
    <n v="28945.200000000001"/>
    <n v="4.2"/>
  </r>
  <r>
    <s v="ORD10064"/>
    <x v="54"/>
    <x v="0"/>
    <x v="0"/>
    <x v="1"/>
    <n v="18"/>
    <n v="1373.71"/>
    <n v="24726.78"/>
    <n v="3.6"/>
  </r>
  <r>
    <s v="ORD10065"/>
    <x v="54"/>
    <x v="3"/>
    <x v="1"/>
    <x v="2"/>
    <n v="8"/>
    <n v="890.75"/>
    <n v="7126"/>
    <n v="4.4000000000000004"/>
  </r>
  <r>
    <s v="ORD10066"/>
    <x v="55"/>
    <x v="1"/>
    <x v="1"/>
    <x v="4"/>
    <n v="1"/>
    <n v="1419.72"/>
    <n v="1419.72"/>
    <n v="4.9000000000000004"/>
  </r>
  <r>
    <s v="ORD10067"/>
    <x v="56"/>
    <x v="0"/>
    <x v="2"/>
    <x v="7"/>
    <n v="14"/>
    <n v="1208.0899999999999"/>
    <n v="16913.259999999998"/>
    <n v="3.3"/>
  </r>
  <r>
    <s v="ORD10068"/>
    <x v="57"/>
    <x v="1"/>
    <x v="1"/>
    <x v="2"/>
    <n v="5"/>
    <n v="691.71"/>
    <n v="3458.55"/>
    <n v="3.4"/>
  </r>
  <r>
    <s v="ORD10069"/>
    <x v="58"/>
    <x v="1"/>
    <x v="1"/>
    <x v="5"/>
    <n v="21"/>
    <n v="1247.31"/>
    <n v="26193.51"/>
    <n v="4.5999999999999996"/>
  </r>
  <r>
    <s v="ORD10070"/>
    <x v="59"/>
    <x v="2"/>
    <x v="1"/>
    <x v="5"/>
    <n v="15"/>
    <n v="427"/>
    <n v="6405"/>
    <n v="4.3"/>
  </r>
  <r>
    <s v="ORD10071"/>
    <x v="60"/>
    <x v="2"/>
    <x v="1"/>
    <x v="5"/>
    <n v="18"/>
    <n v="959.82"/>
    <n v="17276.759999999998"/>
    <n v="4.3"/>
  </r>
  <r>
    <s v="ORD10072"/>
    <x v="61"/>
    <x v="0"/>
    <x v="1"/>
    <x v="5"/>
    <n v="9"/>
    <n v="365.18"/>
    <n v="3286.62"/>
    <n v="4.5"/>
  </r>
  <r>
    <s v="ORD10073"/>
    <x v="62"/>
    <x v="1"/>
    <x v="0"/>
    <x v="0"/>
    <n v="5"/>
    <n v="1178.3499999999999"/>
    <n v="5891.75"/>
    <n v="3.4"/>
  </r>
  <r>
    <s v="ORD10074"/>
    <x v="63"/>
    <x v="1"/>
    <x v="0"/>
    <x v="0"/>
    <n v="17"/>
    <n v="110.64"/>
    <n v="1880.88"/>
    <n v="4.4000000000000004"/>
  </r>
  <r>
    <s v="ORD10075"/>
    <x v="2"/>
    <x v="3"/>
    <x v="1"/>
    <x v="4"/>
    <n v="10"/>
    <n v="705.93"/>
    <n v="7059.3"/>
    <n v="3.1"/>
  </r>
  <r>
    <s v="ORD10076"/>
    <x v="46"/>
    <x v="1"/>
    <x v="0"/>
    <x v="1"/>
    <n v="23"/>
    <n v="1230.92"/>
    <n v="28311.16"/>
    <n v="4"/>
  </r>
  <r>
    <s v="ORD10077"/>
    <x v="64"/>
    <x v="3"/>
    <x v="1"/>
    <x v="4"/>
    <n v="12"/>
    <n v="1334.94"/>
    <n v="16019.28"/>
    <n v="4.8"/>
  </r>
  <r>
    <s v="ORD10078"/>
    <x v="65"/>
    <x v="0"/>
    <x v="1"/>
    <x v="4"/>
    <n v="21"/>
    <n v="299.58999999999997"/>
    <n v="6291.39"/>
    <n v="3.2"/>
  </r>
  <r>
    <s v="ORD10079"/>
    <x v="66"/>
    <x v="3"/>
    <x v="1"/>
    <x v="2"/>
    <n v="2"/>
    <n v="250.93"/>
    <n v="501.86"/>
    <n v="3.9"/>
  </r>
  <r>
    <s v="ORD10080"/>
    <x v="67"/>
    <x v="0"/>
    <x v="0"/>
    <x v="0"/>
    <n v="4"/>
    <n v="203.08"/>
    <n v="812.32"/>
    <n v="3.6"/>
  </r>
  <r>
    <s v="ORD10081"/>
    <x v="68"/>
    <x v="1"/>
    <x v="2"/>
    <x v="3"/>
    <n v="4"/>
    <n v="805.54"/>
    <n v="3222.16"/>
    <n v="4.5"/>
  </r>
  <r>
    <s v="ORD10082"/>
    <x v="69"/>
    <x v="2"/>
    <x v="1"/>
    <x v="2"/>
    <n v="24"/>
    <n v="482.13"/>
    <n v="11571.12"/>
    <n v="4.0999999999999996"/>
  </r>
  <r>
    <s v="ORD10083"/>
    <x v="70"/>
    <x v="2"/>
    <x v="2"/>
    <x v="7"/>
    <n v="21"/>
    <n v="388.08"/>
    <n v="8149.68"/>
    <n v="4.9000000000000004"/>
  </r>
  <r>
    <s v="ORD10084"/>
    <x v="71"/>
    <x v="3"/>
    <x v="1"/>
    <x v="2"/>
    <n v="13"/>
    <n v="28.16"/>
    <n v="366.08"/>
    <n v="3.8"/>
  </r>
  <r>
    <s v="ORD10085"/>
    <x v="72"/>
    <x v="3"/>
    <x v="0"/>
    <x v="8"/>
    <n v="14"/>
    <n v="207.04"/>
    <n v="2898.56"/>
    <n v="3.7"/>
  </r>
  <r>
    <s v="ORD10086"/>
    <x v="71"/>
    <x v="0"/>
    <x v="0"/>
    <x v="0"/>
    <n v="11"/>
    <n v="1420.87"/>
    <n v="15629.57"/>
    <n v="3.3"/>
  </r>
  <r>
    <s v="ORD10087"/>
    <x v="73"/>
    <x v="0"/>
    <x v="0"/>
    <x v="1"/>
    <n v="14"/>
    <n v="243.7"/>
    <n v="3411.8"/>
    <n v="3.1"/>
  </r>
  <r>
    <s v="ORD10088"/>
    <x v="74"/>
    <x v="2"/>
    <x v="2"/>
    <x v="3"/>
    <n v="24"/>
    <n v="592.42999999999995"/>
    <n v="14218.32"/>
    <n v="4.5999999999999996"/>
  </r>
  <r>
    <s v="ORD10089"/>
    <x v="75"/>
    <x v="3"/>
    <x v="0"/>
    <x v="8"/>
    <n v="10"/>
    <n v="747.04"/>
    <n v="7470.4"/>
    <n v="4.3"/>
  </r>
  <r>
    <s v="ORD10090"/>
    <x v="76"/>
    <x v="0"/>
    <x v="2"/>
    <x v="7"/>
    <n v="13"/>
    <n v="457.46"/>
    <n v="5946.98"/>
    <n v="4.7"/>
  </r>
  <r>
    <s v="ORD10091"/>
    <x v="77"/>
    <x v="1"/>
    <x v="2"/>
    <x v="6"/>
    <n v="5"/>
    <n v="1234.33"/>
    <n v="6171.65"/>
    <n v="4.3"/>
  </r>
  <r>
    <s v="ORD10092"/>
    <x v="29"/>
    <x v="0"/>
    <x v="2"/>
    <x v="3"/>
    <n v="8"/>
    <n v="920.5"/>
    <n v="7364"/>
    <n v="4.9000000000000004"/>
  </r>
  <r>
    <s v="ORD10093"/>
    <x v="48"/>
    <x v="0"/>
    <x v="2"/>
    <x v="3"/>
    <n v="16"/>
    <n v="36.57"/>
    <n v="585.12"/>
    <n v="4.0999999999999996"/>
  </r>
  <r>
    <s v="ORD10094"/>
    <x v="78"/>
    <x v="0"/>
    <x v="1"/>
    <x v="2"/>
    <n v="10"/>
    <n v="41.41"/>
    <n v="414.1"/>
    <n v="4.0999999999999996"/>
  </r>
  <r>
    <s v="ORD10095"/>
    <x v="79"/>
    <x v="0"/>
    <x v="2"/>
    <x v="3"/>
    <n v="4"/>
    <n v="1411.16"/>
    <n v="5644.64"/>
    <n v="4.5"/>
  </r>
  <r>
    <s v="ORD10096"/>
    <x v="22"/>
    <x v="1"/>
    <x v="1"/>
    <x v="2"/>
    <n v="23"/>
    <n v="1287.17"/>
    <n v="29604.91"/>
    <n v="4.5999999999999996"/>
  </r>
  <r>
    <s v="ORD10097"/>
    <x v="80"/>
    <x v="2"/>
    <x v="2"/>
    <x v="6"/>
    <n v="4"/>
    <n v="625.91999999999996"/>
    <n v="2503.6799999999998"/>
    <n v="3.2"/>
  </r>
  <r>
    <s v="ORD10098"/>
    <x v="81"/>
    <x v="3"/>
    <x v="2"/>
    <x v="6"/>
    <n v="17"/>
    <n v="879.12"/>
    <n v="14945.04"/>
    <n v="4.9000000000000004"/>
  </r>
  <r>
    <s v="ORD10099"/>
    <x v="82"/>
    <x v="3"/>
    <x v="1"/>
    <x v="2"/>
    <n v="8"/>
    <n v="1012.99"/>
    <n v="8103.92"/>
    <n v="4.3"/>
  </r>
  <r>
    <s v="ORD10100"/>
    <x v="83"/>
    <x v="1"/>
    <x v="1"/>
    <x v="5"/>
    <n v="13"/>
    <n v="569.08000000000004"/>
    <n v="7398.04"/>
    <n v="4.3"/>
  </r>
  <r>
    <s v="ORD10101"/>
    <x v="9"/>
    <x v="0"/>
    <x v="0"/>
    <x v="1"/>
    <n v="18"/>
    <n v="221.76"/>
    <n v="3991.68"/>
    <n v="3.6"/>
  </r>
  <r>
    <s v="ORD10102"/>
    <x v="84"/>
    <x v="2"/>
    <x v="0"/>
    <x v="0"/>
    <n v="8"/>
    <n v="1208.33"/>
    <n v="9666.64"/>
    <n v="3.6"/>
  </r>
  <r>
    <s v="ORD10103"/>
    <x v="85"/>
    <x v="3"/>
    <x v="0"/>
    <x v="1"/>
    <n v="19"/>
    <n v="13.17"/>
    <n v="250.23"/>
    <n v="3.4"/>
  </r>
  <r>
    <s v="ORD10104"/>
    <x v="86"/>
    <x v="1"/>
    <x v="2"/>
    <x v="6"/>
    <n v="21"/>
    <n v="1352.32"/>
    <n v="28398.720000000001"/>
    <n v="4.3"/>
  </r>
  <r>
    <s v="ORD10105"/>
    <x v="87"/>
    <x v="3"/>
    <x v="2"/>
    <x v="3"/>
    <n v="13"/>
    <n v="189.57"/>
    <n v="2464.41"/>
    <n v="3.9"/>
  </r>
  <r>
    <s v="ORD10106"/>
    <x v="84"/>
    <x v="3"/>
    <x v="1"/>
    <x v="5"/>
    <n v="17"/>
    <n v="475.97"/>
    <n v="8091.49"/>
    <n v="4.0999999999999996"/>
  </r>
  <r>
    <s v="ORD10107"/>
    <x v="88"/>
    <x v="1"/>
    <x v="1"/>
    <x v="2"/>
    <n v="17"/>
    <n v="1345.4"/>
    <n v="22871.8"/>
    <n v="3.4"/>
  </r>
  <r>
    <s v="ORD10108"/>
    <x v="89"/>
    <x v="3"/>
    <x v="2"/>
    <x v="6"/>
    <n v="13"/>
    <n v="1012.1"/>
    <n v="13157.3"/>
    <n v="3.2"/>
  </r>
  <r>
    <s v="ORD10109"/>
    <x v="90"/>
    <x v="0"/>
    <x v="2"/>
    <x v="6"/>
    <n v="3"/>
    <n v="210.58"/>
    <n v="631.74"/>
    <n v="3.3"/>
  </r>
  <r>
    <s v="ORD10110"/>
    <x v="91"/>
    <x v="3"/>
    <x v="2"/>
    <x v="3"/>
    <n v="8"/>
    <n v="1423.43"/>
    <n v="11387.44"/>
    <n v="4.3"/>
  </r>
  <r>
    <s v="ORD10111"/>
    <x v="92"/>
    <x v="2"/>
    <x v="2"/>
    <x v="7"/>
    <n v="3"/>
    <n v="1270.83"/>
    <n v="3812.49"/>
    <n v="4.3"/>
  </r>
  <r>
    <s v="ORD10112"/>
    <x v="93"/>
    <x v="0"/>
    <x v="2"/>
    <x v="6"/>
    <n v="5"/>
    <n v="38.47"/>
    <n v="192.35"/>
    <n v="3.8"/>
  </r>
  <r>
    <s v="ORD10113"/>
    <x v="94"/>
    <x v="3"/>
    <x v="1"/>
    <x v="4"/>
    <n v="3"/>
    <n v="692.26"/>
    <n v="2076.7800000000002"/>
    <n v="3.4"/>
  </r>
  <r>
    <s v="ORD10114"/>
    <x v="95"/>
    <x v="3"/>
    <x v="2"/>
    <x v="7"/>
    <n v="22"/>
    <n v="1037.3900000000001"/>
    <n v="22822.58"/>
    <n v="3.3"/>
  </r>
  <r>
    <s v="ORD10115"/>
    <x v="96"/>
    <x v="1"/>
    <x v="1"/>
    <x v="5"/>
    <n v="15"/>
    <n v="937.65"/>
    <n v="14064.75"/>
    <n v="3.9"/>
  </r>
  <r>
    <s v="ORD10116"/>
    <x v="97"/>
    <x v="1"/>
    <x v="0"/>
    <x v="1"/>
    <n v="15"/>
    <n v="1057.47"/>
    <n v="15862.05"/>
    <n v="3.2"/>
  </r>
  <r>
    <s v="ORD10117"/>
    <x v="98"/>
    <x v="3"/>
    <x v="1"/>
    <x v="4"/>
    <n v="7"/>
    <n v="1379.65"/>
    <n v="9657.5499999999993"/>
    <n v="4.5"/>
  </r>
  <r>
    <s v="ORD10118"/>
    <x v="99"/>
    <x v="1"/>
    <x v="1"/>
    <x v="4"/>
    <n v="10"/>
    <n v="481.13"/>
    <n v="4811.3"/>
    <n v="3.4"/>
  </r>
  <r>
    <s v="ORD10119"/>
    <x v="55"/>
    <x v="0"/>
    <x v="2"/>
    <x v="3"/>
    <n v="9"/>
    <n v="460.53"/>
    <n v="4144.7700000000004"/>
    <n v="4.4000000000000004"/>
  </r>
  <r>
    <s v="ORD10120"/>
    <x v="100"/>
    <x v="3"/>
    <x v="0"/>
    <x v="8"/>
    <n v="22"/>
    <n v="826.81"/>
    <n v="18189.82"/>
    <n v="3.1"/>
  </r>
  <r>
    <s v="ORD10121"/>
    <x v="97"/>
    <x v="3"/>
    <x v="0"/>
    <x v="1"/>
    <n v="2"/>
    <n v="1157.54"/>
    <n v="2315.08"/>
    <n v="4"/>
  </r>
  <r>
    <s v="ORD10122"/>
    <x v="44"/>
    <x v="2"/>
    <x v="1"/>
    <x v="4"/>
    <n v="25"/>
    <n v="1368.72"/>
    <n v="34218"/>
    <n v="4.8"/>
  </r>
  <r>
    <s v="ORD10123"/>
    <x v="101"/>
    <x v="0"/>
    <x v="1"/>
    <x v="5"/>
    <n v="15"/>
    <n v="1395.86"/>
    <n v="20937.900000000001"/>
    <n v="3.5"/>
  </r>
  <r>
    <s v="ORD10124"/>
    <x v="101"/>
    <x v="1"/>
    <x v="2"/>
    <x v="3"/>
    <n v="13"/>
    <n v="653.11"/>
    <n v="8490.43"/>
    <n v="3.6"/>
  </r>
  <r>
    <s v="ORD10125"/>
    <x v="38"/>
    <x v="2"/>
    <x v="1"/>
    <x v="2"/>
    <n v="8"/>
    <n v="1179.9100000000001"/>
    <n v="9439.2800000000007"/>
    <n v="4.5"/>
  </r>
  <r>
    <s v="ORD10126"/>
    <x v="102"/>
    <x v="1"/>
    <x v="1"/>
    <x v="5"/>
    <n v="8"/>
    <n v="1200.24"/>
    <n v="9601.92"/>
    <n v="5"/>
  </r>
  <r>
    <s v="ORD10127"/>
    <x v="94"/>
    <x v="2"/>
    <x v="2"/>
    <x v="3"/>
    <n v="17"/>
    <n v="1076.4100000000001"/>
    <n v="18298.97"/>
    <n v="3.1"/>
  </r>
  <r>
    <s v="ORD10128"/>
    <x v="103"/>
    <x v="1"/>
    <x v="2"/>
    <x v="6"/>
    <n v="9"/>
    <n v="719.34"/>
    <n v="6474.06"/>
    <n v="4.5999999999999996"/>
  </r>
  <r>
    <s v="ORD10129"/>
    <x v="104"/>
    <x v="2"/>
    <x v="0"/>
    <x v="0"/>
    <n v="11"/>
    <n v="50.29"/>
    <n v="553.19000000000005"/>
    <n v="4.0999999999999996"/>
  </r>
  <r>
    <s v="ORD10130"/>
    <x v="105"/>
    <x v="1"/>
    <x v="0"/>
    <x v="0"/>
    <n v="1"/>
    <n v="699.63"/>
    <n v="699.63"/>
    <n v="4.0999999999999996"/>
  </r>
  <r>
    <s v="ORD10131"/>
    <x v="105"/>
    <x v="1"/>
    <x v="1"/>
    <x v="2"/>
    <n v="19"/>
    <n v="468.11"/>
    <n v="8894.09"/>
    <n v="4"/>
  </r>
  <r>
    <s v="ORD10132"/>
    <x v="106"/>
    <x v="2"/>
    <x v="2"/>
    <x v="7"/>
    <n v="14"/>
    <n v="1021.94"/>
    <n v="14307.16"/>
    <n v="4.7"/>
  </r>
  <r>
    <s v="ORD10133"/>
    <x v="107"/>
    <x v="0"/>
    <x v="2"/>
    <x v="6"/>
    <n v="25"/>
    <n v="1383.88"/>
    <n v="34597"/>
    <n v="3.4"/>
  </r>
  <r>
    <s v="ORD10134"/>
    <x v="108"/>
    <x v="1"/>
    <x v="0"/>
    <x v="8"/>
    <n v="24"/>
    <n v="503.77"/>
    <n v="12090.48"/>
    <n v="4.2"/>
  </r>
  <r>
    <s v="ORD10135"/>
    <x v="56"/>
    <x v="0"/>
    <x v="2"/>
    <x v="3"/>
    <n v="25"/>
    <n v="1020.2"/>
    <n v="25505"/>
    <n v="3.3"/>
  </r>
  <r>
    <s v="ORD10136"/>
    <x v="44"/>
    <x v="3"/>
    <x v="1"/>
    <x v="5"/>
    <n v="8"/>
    <n v="1376.86"/>
    <n v="11014.88"/>
    <n v="3.9"/>
  </r>
  <r>
    <s v="ORD10137"/>
    <x v="62"/>
    <x v="2"/>
    <x v="1"/>
    <x v="4"/>
    <n v="14"/>
    <n v="1078.46"/>
    <n v="15098.44"/>
    <n v="3.4"/>
  </r>
  <r>
    <s v="ORD10138"/>
    <x v="54"/>
    <x v="0"/>
    <x v="1"/>
    <x v="5"/>
    <n v="19"/>
    <n v="698.67"/>
    <n v="13274.73"/>
    <n v="3.1"/>
  </r>
  <r>
    <s v="ORD10139"/>
    <x v="109"/>
    <x v="2"/>
    <x v="2"/>
    <x v="3"/>
    <n v="19"/>
    <n v="738.52"/>
    <n v="14031.88"/>
    <n v="3.7"/>
  </r>
  <r>
    <s v="ORD10140"/>
    <x v="110"/>
    <x v="2"/>
    <x v="2"/>
    <x v="3"/>
    <n v="23"/>
    <n v="114.38"/>
    <n v="2630.74"/>
    <n v="4.8"/>
  </r>
  <r>
    <s v="ORD10141"/>
    <x v="107"/>
    <x v="2"/>
    <x v="0"/>
    <x v="1"/>
    <n v="4"/>
    <n v="1085.96"/>
    <n v="4343.84"/>
    <n v="4.0999999999999996"/>
  </r>
  <r>
    <s v="ORD10142"/>
    <x v="111"/>
    <x v="3"/>
    <x v="1"/>
    <x v="4"/>
    <n v="19"/>
    <n v="909.91"/>
    <n v="17288.29"/>
    <n v="3.2"/>
  </r>
  <r>
    <s v="ORD10143"/>
    <x v="112"/>
    <x v="2"/>
    <x v="0"/>
    <x v="8"/>
    <n v="22"/>
    <n v="888.58"/>
    <n v="19548.759999999998"/>
    <n v="3.9"/>
  </r>
  <r>
    <s v="ORD10144"/>
    <x v="113"/>
    <x v="3"/>
    <x v="0"/>
    <x v="8"/>
    <n v="11"/>
    <n v="266.70999999999998"/>
    <n v="2933.81"/>
    <n v="3.5"/>
  </r>
  <r>
    <s v="ORD10145"/>
    <x v="3"/>
    <x v="0"/>
    <x v="1"/>
    <x v="5"/>
    <n v="7"/>
    <n v="1403.71"/>
    <n v="9825.9699999999993"/>
    <n v="4.8"/>
  </r>
  <r>
    <s v="ORD10146"/>
    <x v="114"/>
    <x v="3"/>
    <x v="2"/>
    <x v="6"/>
    <n v="9"/>
    <n v="289.07"/>
    <n v="2601.63"/>
    <n v="4.3"/>
  </r>
  <r>
    <s v="ORD10147"/>
    <x v="115"/>
    <x v="2"/>
    <x v="2"/>
    <x v="6"/>
    <n v="5"/>
    <n v="1050.53"/>
    <n v="5252.65"/>
    <n v="4.0999999999999996"/>
  </r>
  <r>
    <s v="ORD10148"/>
    <x v="116"/>
    <x v="0"/>
    <x v="1"/>
    <x v="5"/>
    <n v="24"/>
    <n v="1185.29"/>
    <n v="28446.959999999999"/>
    <n v="4"/>
  </r>
  <r>
    <s v="ORD10149"/>
    <x v="20"/>
    <x v="1"/>
    <x v="2"/>
    <x v="6"/>
    <n v="15"/>
    <n v="875.61"/>
    <n v="13134.15"/>
    <n v="4.9000000000000004"/>
  </r>
  <r>
    <s v="ORD10150"/>
    <x v="117"/>
    <x v="3"/>
    <x v="1"/>
    <x v="5"/>
    <n v="14"/>
    <n v="1399.68"/>
    <n v="19595.52"/>
    <n v="4.4000000000000004"/>
  </r>
  <r>
    <s v="ORD10151"/>
    <x v="118"/>
    <x v="0"/>
    <x v="2"/>
    <x v="3"/>
    <n v="5"/>
    <n v="34.200000000000003"/>
    <n v="171"/>
    <n v="4.0999999999999996"/>
  </r>
  <r>
    <s v="ORD10152"/>
    <x v="119"/>
    <x v="0"/>
    <x v="1"/>
    <x v="2"/>
    <n v="21"/>
    <n v="1134.06"/>
    <n v="23815.26"/>
    <n v="3"/>
  </r>
  <r>
    <s v="ORD10153"/>
    <x v="120"/>
    <x v="3"/>
    <x v="1"/>
    <x v="4"/>
    <n v="23"/>
    <n v="381.86"/>
    <n v="8782.7800000000007"/>
    <n v="4.2"/>
  </r>
  <r>
    <s v="ORD10154"/>
    <x v="89"/>
    <x v="3"/>
    <x v="1"/>
    <x v="4"/>
    <n v="15"/>
    <n v="40.880000000000003"/>
    <n v="613.20000000000005"/>
    <n v="3.7"/>
  </r>
  <r>
    <s v="ORD10155"/>
    <x v="81"/>
    <x v="0"/>
    <x v="0"/>
    <x v="1"/>
    <n v="15"/>
    <n v="1417.34"/>
    <n v="21260.1"/>
    <n v="3.4"/>
  </r>
  <r>
    <s v="ORD10156"/>
    <x v="121"/>
    <x v="3"/>
    <x v="1"/>
    <x v="4"/>
    <n v="5"/>
    <n v="1119.58"/>
    <n v="5597.9"/>
    <n v="4.7"/>
  </r>
  <r>
    <s v="ORD10157"/>
    <x v="122"/>
    <x v="0"/>
    <x v="0"/>
    <x v="8"/>
    <n v="9"/>
    <n v="906.33"/>
    <n v="8156.97"/>
    <n v="4"/>
  </r>
  <r>
    <s v="ORD10158"/>
    <x v="123"/>
    <x v="3"/>
    <x v="2"/>
    <x v="6"/>
    <n v="11"/>
    <n v="111.82"/>
    <n v="1230.02"/>
    <n v="3.2"/>
  </r>
  <r>
    <s v="ORD10159"/>
    <x v="4"/>
    <x v="3"/>
    <x v="1"/>
    <x v="2"/>
    <n v="9"/>
    <n v="263.04000000000002"/>
    <n v="2367.36"/>
    <n v="3"/>
  </r>
  <r>
    <s v="ORD10160"/>
    <x v="124"/>
    <x v="3"/>
    <x v="0"/>
    <x v="8"/>
    <n v="19"/>
    <n v="1293.71"/>
    <n v="24580.49"/>
    <n v="3.8"/>
  </r>
  <r>
    <s v="ORD10161"/>
    <x v="125"/>
    <x v="1"/>
    <x v="1"/>
    <x v="5"/>
    <n v="22"/>
    <n v="730.35"/>
    <n v="16067.7"/>
    <n v="4.9000000000000004"/>
  </r>
  <r>
    <s v="ORD10162"/>
    <x v="126"/>
    <x v="1"/>
    <x v="1"/>
    <x v="4"/>
    <n v="3"/>
    <n v="1253.42"/>
    <n v="3760.26"/>
    <n v="4.2"/>
  </r>
  <r>
    <s v="ORD10163"/>
    <x v="3"/>
    <x v="1"/>
    <x v="0"/>
    <x v="8"/>
    <n v="7"/>
    <n v="174.82"/>
    <n v="1223.74"/>
    <n v="3.1"/>
  </r>
  <r>
    <s v="ORD10164"/>
    <x v="127"/>
    <x v="0"/>
    <x v="0"/>
    <x v="8"/>
    <n v="12"/>
    <n v="948.62"/>
    <n v="11383.44"/>
    <n v="4.7"/>
  </r>
  <r>
    <s v="ORD10165"/>
    <x v="128"/>
    <x v="3"/>
    <x v="1"/>
    <x v="4"/>
    <n v="1"/>
    <n v="239.39"/>
    <n v="239.39"/>
    <n v="4.3"/>
  </r>
  <r>
    <s v="ORD10166"/>
    <x v="129"/>
    <x v="1"/>
    <x v="0"/>
    <x v="0"/>
    <n v="8"/>
    <n v="681.86"/>
    <n v="5454.88"/>
    <n v="4.2"/>
  </r>
  <r>
    <s v="ORD10167"/>
    <x v="130"/>
    <x v="1"/>
    <x v="2"/>
    <x v="3"/>
    <n v="15"/>
    <n v="223.72"/>
    <n v="3355.8"/>
    <n v="4.7"/>
  </r>
  <r>
    <s v="ORD10168"/>
    <x v="106"/>
    <x v="1"/>
    <x v="1"/>
    <x v="2"/>
    <n v="18"/>
    <n v="583.03"/>
    <n v="10494.54"/>
    <n v="4.8"/>
  </r>
  <r>
    <s v="ORD10169"/>
    <x v="131"/>
    <x v="3"/>
    <x v="0"/>
    <x v="8"/>
    <n v="8"/>
    <n v="408.07"/>
    <n v="3264.56"/>
    <n v="4"/>
  </r>
  <r>
    <s v="ORD10170"/>
    <x v="132"/>
    <x v="3"/>
    <x v="1"/>
    <x v="5"/>
    <n v="22"/>
    <n v="268.38"/>
    <n v="5904.36"/>
    <n v="4.5"/>
  </r>
  <r>
    <s v="ORD10171"/>
    <x v="34"/>
    <x v="1"/>
    <x v="0"/>
    <x v="0"/>
    <n v="9"/>
    <n v="804.8"/>
    <n v="7243.2"/>
    <n v="4.7"/>
  </r>
  <r>
    <s v="ORD10172"/>
    <x v="133"/>
    <x v="3"/>
    <x v="2"/>
    <x v="7"/>
    <n v="14"/>
    <n v="621.03"/>
    <n v="8694.42"/>
    <n v="3.1"/>
  </r>
  <r>
    <s v="ORD10173"/>
    <x v="134"/>
    <x v="1"/>
    <x v="1"/>
    <x v="4"/>
    <n v="4"/>
    <n v="988.45"/>
    <n v="3953.8"/>
    <n v="4.8"/>
  </r>
  <r>
    <s v="ORD10174"/>
    <x v="135"/>
    <x v="1"/>
    <x v="1"/>
    <x v="5"/>
    <n v="18"/>
    <n v="926.64"/>
    <n v="16679.52"/>
    <n v="3.4"/>
  </r>
  <r>
    <s v="ORD10175"/>
    <x v="130"/>
    <x v="0"/>
    <x v="1"/>
    <x v="5"/>
    <n v="10"/>
    <n v="1314.9"/>
    <n v="13149"/>
    <n v="4.3"/>
  </r>
  <r>
    <s v="ORD10176"/>
    <x v="115"/>
    <x v="2"/>
    <x v="2"/>
    <x v="3"/>
    <n v="8"/>
    <n v="1058.8800000000001"/>
    <n v="8471.0400000000009"/>
    <n v="4.7"/>
  </r>
  <r>
    <s v="ORD10177"/>
    <x v="34"/>
    <x v="0"/>
    <x v="2"/>
    <x v="6"/>
    <n v="24"/>
    <n v="1227.6500000000001"/>
    <n v="29463.599999999999"/>
    <n v="4.5"/>
  </r>
  <r>
    <s v="ORD10178"/>
    <x v="135"/>
    <x v="0"/>
    <x v="2"/>
    <x v="6"/>
    <n v="24"/>
    <n v="675.95"/>
    <n v="16222.8"/>
    <n v="3.4"/>
  </r>
  <r>
    <s v="ORD10179"/>
    <x v="25"/>
    <x v="1"/>
    <x v="2"/>
    <x v="3"/>
    <n v="25"/>
    <n v="798.68"/>
    <n v="19967"/>
    <n v="3.3"/>
  </r>
  <r>
    <s v="ORD10180"/>
    <x v="136"/>
    <x v="3"/>
    <x v="0"/>
    <x v="0"/>
    <n v="22"/>
    <n v="596.41999999999996"/>
    <n v="13121.24"/>
    <n v="4.4000000000000004"/>
  </r>
  <r>
    <s v="ORD10181"/>
    <x v="134"/>
    <x v="2"/>
    <x v="1"/>
    <x v="4"/>
    <n v="12"/>
    <n v="291.45"/>
    <n v="3497.4"/>
    <n v="3.8"/>
  </r>
  <r>
    <s v="ORD10182"/>
    <x v="121"/>
    <x v="1"/>
    <x v="0"/>
    <x v="1"/>
    <n v="6"/>
    <n v="388.67"/>
    <n v="2332.02"/>
    <n v="3.1"/>
  </r>
  <r>
    <s v="ORD10183"/>
    <x v="82"/>
    <x v="3"/>
    <x v="1"/>
    <x v="2"/>
    <n v="9"/>
    <n v="1024.55"/>
    <n v="9220.9500000000007"/>
    <n v="3.9"/>
  </r>
  <r>
    <s v="ORD10184"/>
    <x v="137"/>
    <x v="1"/>
    <x v="1"/>
    <x v="5"/>
    <n v="22"/>
    <n v="487.93"/>
    <n v="10734.46"/>
    <n v="3.7"/>
  </r>
  <r>
    <s v="ORD10185"/>
    <x v="138"/>
    <x v="2"/>
    <x v="0"/>
    <x v="1"/>
    <n v="19"/>
    <n v="441.34"/>
    <n v="8385.4599999999991"/>
    <n v="3.3"/>
  </r>
  <r>
    <s v="ORD10186"/>
    <x v="139"/>
    <x v="2"/>
    <x v="1"/>
    <x v="2"/>
    <n v="15"/>
    <n v="1031.1500000000001"/>
    <n v="15467.25"/>
    <n v="3.2"/>
  </r>
  <r>
    <s v="ORD10187"/>
    <x v="47"/>
    <x v="3"/>
    <x v="1"/>
    <x v="5"/>
    <n v="20"/>
    <n v="1072.24"/>
    <n v="21444.799999999999"/>
    <n v="3.8"/>
  </r>
  <r>
    <s v="ORD10188"/>
    <x v="21"/>
    <x v="2"/>
    <x v="0"/>
    <x v="1"/>
    <n v="12"/>
    <n v="952.46"/>
    <n v="11429.52"/>
    <n v="4.4000000000000004"/>
  </r>
  <r>
    <s v="ORD10189"/>
    <x v="140"/>
    <x v="0"/>
    <x v="2"/>
    <x v="3"/>
    <n v="15"/>
    <n v="1423.23"/>
    <n v="21348.45"/>
    <n v="3.1"/>
  </r>
  <r>
    <s v="ORD10190"/>
    <x v="37"/>
    <x v="3"/>
    <x v="0"/>
    <x v="1"/>
    <n v="22"/>
    <n v="1127.8"/>
    <n v="24811.599999999999"/>
    <n v="3.5"/>
  </r>
  <r>
    <s v="ORD10191"/>
    <x v="141"/>
    <x v="1"/>
    <x v="0"/>
    <x v="1"/>
    <n v="11"/>
    <n v="269.2"/>
    <n v="2961.2"/>
    <n v="3.6"/>
  </r>
  <r>
    <s v="ORD10192"/>
    <x v="101"/>
    <x v="1"/>
    <x v="1"/>
    <x v="5"/>
    <n v="21"/>
    <n v="791.9"/>
    <n v="16629.900000000001"/>
    <n v="3.2"/>
  </r>
  <r>
    <s v="ORD10193"/>
    <x v="41"/>
    <x v="3"/>
    <x v="0"/>
    <x v="0"/>
    <n v="17"/>
    <n v="569.61"/>
    <n v="9683.3700000000008"/>
    <n v="4.2"/>
  </r>
  <r>
    <s v="ORD10194"/>
    <x v="142"/>
    <x v="2"/>
    <x v="1"/>
    <x v="4"/>
    <n v="10"/>
    <n v="386.58"/>
    <n v="3865.8"/>
    <n v="4.3"/>
  </r>
  <r>
    <s v="ORD10195"/>
    <x v="143"/>
    <x v="0"/>
    <x v="2"/>
    <x v="6"/>
    <n v="20"/>
    <n v="1421.07"/>
    <n v="28421.4"/>
    <n v="4.3"/>
  </r>
  <r>
    <s v="ORD10196"/>
    <x v="144"/>
    <x v="1"/>
    <x v="0"/>
    <x v="0"/>
    <n v="7"/>
    <n v="1144.96"/>
    <n v="8014.72"/>
    <n v="4.7"/>
  </r>
  <r>
    <s v="ORD10197"/>
    <x v="50"/>
    <x v="0"/>
    <x v="0"/>
    <x v="1"/>
    <n v="8"/>
    <n v="902.5"/>
    <n v="7220"/>
    <n v="4.5"/>
  </r>
  <r>
    <s v="ORD10198"/>
    <x v="110"/>
    <x v="2"/>
    <x v="1"/>
    <x v="2"/>
    <n v="23"/>
    <n v="1472.73"/>
    <n v="33872.79"/>
    <n v="4.8"/>
  </r>
  <r>
    <s v="ORD10199"/>
    <x v="145"/>
    <x v="3"/>
    <x v="2"/>
    <x v="7"/>
    <n v="19"/>
    <n v="392.7"/>
    <n v="7461.3"/>
    <n v="3"/>
  </r>
  <r>
    <s v="ORD10200"/>
    <x v="146"/>
    <x v="1"/>
    <x v="1"/>
    <x v="2"/>
    <n v="14"/>
    <n v="241.55"/>
    <n v="3381.7"/>
    <n v="4.5"/>
  </r>
  <r>
    <s v="ORD10201"/>
    <x v="147"/>
    <x v="0"/>
    <x v="2"/>
    <x v="3"/>
    <n v="23"/>
    <n v="373.21"/>
    <n v="8583.83"/>
    <n v="4.8"/>
  </r>
  <r>
    <s v="ORD10202"/>
    <x v="148"/>
    <x v="3"/>
    <x v="1"/>
    <x v="5"/>
    <n v="9"/>
    <n v="1186.32"/>
    <n v="10676.88"/>
    <n v="4"/>
  </r>
  <r>
    <s v="ORD10203"/>
    <x v="149"/>
    <x v="1"/>
    <x v="0"/>
    <x v="0"/>
    <n v="8"/>
    <n v="504.27"/>
    <n v="4034.16"/>
    <n v="4.2"/>
  </r>
  <r>
    <s v="ORD10204"/>
    <x v="150"/>
    <x v="2"/>
    <x v="2"/>
    <x v="6"/>
    <n v="8"/>
    <n v="800.6"/>
    <n v="6404.8"/>
    <n v="4.0999999999999996"/>
  </r>
  <r>
    <s v="ORD10205"/>
    <x v="87"/>
    <x v="2"/>
    <x v="1"/>
    <x v="4"/>
    <n v="18"/>
    <n v="808.35"/>
    <n v="14550.3"/>
    <n v="3.5"/>
  </r>
  <r>
    <s v="ORD10206"/>
    <x v="151"/>
    <x v="1"/>
    <x v="1"/>
    <x v="2"/>
    <n v="11"/>
    <n v="801.72"/>
    <n v="8818.92"/>
    <n v="3.5"/>
  </r>
  <r>
    <s v="ORD10207"/>
    <x v="152"/>
    <x v="1"/>
    <x v="0"/>
    <x v="8"/>
    <n v="21"/>
    <n v="411.39"/>
    <n v="8639.19"/>
    <n v="3.2"/>
  </r>
  <r>
    <s v="ORD10208"/>
    <x v="153"/>
    <x v="3"/>
    <x v="1"/>
    <x v="2"/>
    <n v="10"/>
    <n v="391.56"/>
    <n v="3915.6"/>
    <n v="3.9"/>
  </r>
  <r>
    <s v="ORD10209"/>
    <x v="154"/>
    <x v="1"/>
    <x v="1"/>
    <x v="5"/>
    <n v="4"/>
    <n v="1311.38"/>
    <n v="5245.52"/>
    <n v="3.4"/>
  </r>
  <r>
    <s v="ORD10210"/>
    <x v="101"/>
    <x v="0"/>
    <x v="1"/>
    <x v="5"/>
    <n v="12"/>
    <n v="830.75"/>
    <n v="9969"/>
    <n v="3.9"/>
  </r>
  <r>
    <s v="ORD10211"/>
    <x v="155"/>
    <x v="1"/>
    <x v="0"/>
    <x v="8"/>
    <n v="24"/>
    <n v="638.54999999999995"/>
    <n v="15325.2"/>
    <n v="3.6"/>
  </r>
  <r>
    <s v="ORD10212"/>
    <x v="156"/>
    <x v="3"/>
    <x v="1"/>
    <x v="2"/>
    <n v="10"/>
    <n v="428.68"/>
    <n v="4286.8"/>
    <n v="3.9"/>
  </r>
  <r>
    <s v="ORD10213"/>
    <x v="70"/>
    <x v="3"/>
    <x v="0"/>
    <x v="1"/>
    <n v="4"/>
    <n v="1448.03"/>
    <n v="5792.12"/>
    <n v="4"/>
  </r>
  <r>
    <s v="ORD10214"/>
    <x v="157"/>
    <x v="1"/>
    <x v="0"/>
    <x v="0"/>
    <n v="14"/>
    <n v="1491.62"/>
    <n v="20882.68"/>
    <n v="4.5999999999999996"/>
  </r>
  <r>
    <s v="ORD10215"/>
    <x v="38"/>
    <x v="0"/>
    <x v="0"/>
    <x v="8"/>
    <n v="23"/>
    <n v="1266.06"/>
    <n v="29119.38"/>
    <n v="3.5"/>
  </r>
  <r>
    <s v="ORD10216"/>
    <x v="158"/>
    <x v="1"/>
    <x v="0"/>
    <x v="8"/>
    <n v="23"/>
    <n v="1485.23"/>
    <n v="34160.29"/>
    <n v="3.5"/>
  </r>
  <r>
    <s v="ORD10217"/>
    <x v="95"/>
    <x v="2"/>
    <x v="2"/>
    <x v="3"/>
    <n v="8"/>
    <n v="1029.8699999999999"/>
    <n v="8238.9599999999991"/>
    <n v="4.7"/>
  </r>
  <r>
    <s v="ORD10218"/>
    <x v="159"/>
    <x v="0"/>
    <x v="1"/>
    <x v="2"/>
    <n v="12"/>
    <n v="96.06"/>
    <n v="1152.72"/>
    <n v="4.0999999999999996"/>
  </r>
  <r>
    <s v="ORD10219"/>
    <x v="160"/>
    <x v="3"/>
    <x v="2"/>
    <x v="3"/>
    <n v="8"/>
    <n v="1272.23"/>
    <n v="10177.84"/>
    <n v="4.2"/>
  </r>
  <r>
    <s v="ORD10220"/>
    <x v="45"/>
    <x v="3"/>
    <x v="0"/>
    <x v="0"/>
    <n v="25"/>
    <n v="1356.38"/>
    <n v="33909.5"/>
    <n v="4.4000000000000004"/>
  </r>
  <r>
    <s v="ORD10221"/>
    <x v="92"/>
    <x v="2"/>
    <x v="1"/>
    <x v="5"/>
    <n v="15"/>
    <n v="523.63"/>
    <n v="7854.45"/>
    <n v="3.5"/>
  </r>
  <r>
    <s v="ORD10222"/>
    <x v="55"/>
    <x v="0"/>
    <x v="1"/>
    <x v="5"/>
    <n v="6"/>
    <n v="403.68"/>
    <n v="2422.08"/>
    <n v="4.5"/>
  </r>
  <r>
    <s v="ORD10223"/>
    <x v="161"/>
    <x v="0"/>
    <x v="2"/>
    <x v="7"/>
    <n v="6"/>
    <n v="130.44999999999999"/>
    <n v="782.7"/>
    <n v="4.2"/>
  </r>
  <r>
    <s v="ORD10224"/>
    <x v="162"/>
    <x v="3"/>
    <x v="0"/>
    <x v="0"/>
    <n v="3"/>
    <n v="352.02"/>
    <n v="1056.06"/>
    <n v="4.5999999999999996"/>
  </r>
  <r>
    <s v="ORD10225"/>
    <x v="51"/>
    <x v="0"/>
    <x v="2"/>
    <x v="7"/>
    <n v="23"/>
    <n v="1241.43"/>
    <n v="28552.89"/>
    <n v="3.9"/>
  </r>
  <r>
    <s v="ORD10226"/>
    <x v="163"/>
    <x v="2"/>
    <x v="1"/>
    <x v="4"/>
    <n v="5"/>
    <n v="786.04"/>
    <n v="3930.2"/>
    <n v="3.1"/>
  </r>
  <r>
    <s v="ORD10227"/>
    <x v="1"/>
    <x v="2"/>
    <x v="1"/>
    <x v="5"/>
    <n v="5"/>
    <n v="666.41"/>
    <n v="3332.05"/>
    <n v="3.1"/>
  </r>
  <r>
    <s v="ORD10228"/>
    <x v="22"/>
    <x v="2"/>
    <x v="1"/>
    <x v="5"/>
    <n v="19"/>
    <n v="1463.41"/>
    <n v="27804.79"/>
    <n v="3.6"/>
  </r>
  <r>
    <s v="ORD10229"/>
    <x v="155"/>
    <x v="3"/>
    <x v="0"/>
    <x v="1"/>
    <n v="18"/>
    <n v="624.47"/>
    <n v="11240.46"/>
    <n v="4.9000000000000004"/>
  </r>
  <r>
    <s v="ORD10230"/>
    <x v="114"/>
    <x v="2"/>
    <x v="1"/>
    <x v="2"/>
    <n v="8"/>
    <n v="1046.3399999999999"/>
    <n v="8370.7199999999993"/>
    <n v="3.5"/>
  </r>
  <r>
    <s v="ORD10231"/>
    <x v="98"/>
    <x v="1"/>
    <x v="2"/>
    <x v="6"/>
    <n v="3"/>
    <n v="417.11"/>
    <n v="1251.33"/>
    <n v="4"/>
  </r>
  <r>
    <s v="ORD10232"/>
    <x v="164"/>
    <x v="1"/>
    <x v="0"/>
    <x v="8"/>
    <n v="13"/>
    <n v="928.47"/>
    <n v="12070.11"/>
    <n v="3.2"/>
  </r>
  <r>
    <s v="ORD10233"/>
    <x v="165"/>
    <x v="3"/>
    <x v="0"/>
    <x v="0"/>
    <n v="9"/>
    <n v="440.64"/>
    <n v="3965.76"/>
    <n v="4.8"/>
  </r>
  <r>
    <s v="ORD10234"/>
    <x v="111"/>
    <x v="2"/>
    <x v="2"/>
    <x v="7"/>
    <n v="9"/>
    <n v="1473.32"/>
    <n v="13259.88"/>
    <n v="4.5"/>
  </r>
  <r>
    <s v="ORD10235"/>
    <x v="166"/>
    <x v="3"/>
    <x v="1"/>
    <x v="2"/>
    <n v="7"/>
    <n v="642.73"/>
    <n v="4499.1099999999997"/>
    <n v="3.1"/>
  </r>
  <r>
    <s v="ORD10236"/>
    <x v="7"/>
    <x v="3"/>
    <x v="1"/>
    <x v="4"/>
    <n v="24"/>
    <n v="382.75"/>
    <n v="9186"/>
    <n v="3.2"/>
  </r>
  <r>
    <s v="ORD10237"/>
    <x v="167"/>
    <x v="2"/>
    <x v="2"/>
    <x v="7"/>
    <n v="25"/>
    <n v="248.71"/>
    <n v="6217.75"/>
    <n v="4.8"/>
  </r>
  <r>
    <s v="ORD10238"/>
    <x v="168"/>
    <x v="0"/>
    <x v="2"/>
    <x v="7"/>
    <n v="1"/>
    <n v="1320.38"/>
    <n v="1320.38"/>
    <n v="3.4"/>
  </r>
  <r>
    <s v="ORD10239"/>
    <x v="39"/>
    <x v="0"/>
    <x v="0"/>
    <x v="8"/>
    <n v="18"/>
    <n v="503.69"/>
    <n v="9066.42"/>
    <n v="4.9000000000000004"/>
  </r>
  <r>
    <s v="ORD10240"/>
    <x v="0"/>
    <x v="1"/>
    <x v="1"/>
    <x v="4"/>
    <n v="1"/>
    <n v="887.9"/>
    <n v="887.9"/>
    <n v="3"/>
  </r>
  <r>
    <s v="ORD10241"/>
    <x v="169"/>
    <x v="2"/>
    <x v="0"/>
    <x v="0"/>
    <n v="7"/>
    <n v="813.85"/>
    <n v="5696.95"/>
    <n v="3.2"/>
  </r>
  <r>
    <s v="ORD10242"/>
    <x v="170"/>
    <x v="1"/>
    <x v="1"/>
    <x v="2"/>
    <n v="24"/>
    <n v="699.21"/>
    <n v="16781.04"/>
    <n v="4.4000000000000004"/>
  </r>
  <r>
    <s v="ORD10243"/>
    <x v="171"/>
    <x v="1"/>
    <x v="0"/>
    <x v="1"/>
    <n v="14"/>
    <n v="391.44"/>
    <n v="5480.16"/>
    <n v="3.4"/>
  </r>
  <r>
    <s v="ORD10244"/>
    <x v="129"/>
    <x v="0"/>
    <x v="1"/>
    <x v="5"/>
    <n v="9"/>
    <n v="1396.53"/>
    <n v="12568.77"/>
    <n v="3.3"/>
  </r>
  <r>
    <s v="ORD10245"/>
    <x v="172"/>
    <x v="3"/>
    <x v="0"/>
    <x v="1"/>
    <n v="2"/>
    <n v="1304.76"/>
    <n v="2609.52"/>
    <n v="3.4"/>
  </r>
  <r>
    <s v="ORD10246"/>
    <x v="173"/>
    <x v="3"/>
    <x v="2"/>
    <x v="3"/>
    <n v="11"/>
    <n v="641.26"/>
    <n v="7053.86"/>
    <n v="4.3"/>
  </r>
  <r>
    <s v="ORD10247"/>
    <x v="174"/>
    <x v="0"/>
    <x v="2"/>
    <x v="7"/>
    <n v="5"/>
    <n v="534.67999999999995"/>
    <n v="2673.4"/>
    <n v="3.7"/>
  </r>
  <r>
    <s v="ORD10248"/>
    <x v="175"/>
    <x v="0"/>
    <x v="2"/>
    <x v="3"/>
    <n v="11"/>
    <n v="106.33"/>
    <n v="1169.6300000000001"/>
    <n v="3.1"/>
  </r>
  <r>
    <s v="ORD10249"/>
    <x v="46"/>
    <x v="1"/>
    <x v="1"/>
    <x v="4"/>
    <n v="1"/>
    <n v="1473.41"/>
    <n v="1473.41"/>
    <n v="3.5"/>
  </r>
  <r>
    <s v="ORD10250"/>
    <x v="176"/>
    <x v="3"/>
    <x v="0"/>
    <x v="1"/>
    <n v="13"/>
    <n v="1445.24"/>
    <n v="18788.12"/>
    <n v="4.9000000000000004"/>
  </r>
  <r>
    <s v="ORD10251"/>
    <x v="177"/>
    <x v="1"/>
    <x v="1"/>
    <x v="5"/>
    <n v="13"/>
    <n v="1464.23"/>
    <n v="19034.990000000002"/>
    <n v="4.0999999999999996"/>
  </r>
  <r>
    <s v="ORD10252"/>
    <x v="25"/>
    <x v="1"/>
    <x v="2"/>
    <x v="7"/>
    <n v="18"/>
    <n v="1307.8900000000001"/>
    <n v="23542.02"/>
    <n v="4.0999999999999996"/>
  </r>
  <r>
    <s v="ORD10253"/>
    <x v="178"/>
    <x v="0"/>
    <x v="1"/>
    <x v="5"/>
    <n v="15"/>
    <n v="445.75"/>
    <n v="6686.25"/>
    <n v="3.4"/>
  </r>
  <r>
    <s v="ORD10254"/>
    <x v="179"/>
    <x v="0"/>
    <x v="2"/>
    <x v="7"/>
    <n v="25"/>
    <n v="134.22999999999999"/>
    <n v="3355.75"/>
    <n v="4.5999999999999996"/>
  </r>
  <r>
    <s v="ORD10255"/>
    <x v="180"/>
    <x v="3"/>
    <x v="0"/>
    <x v="8"/>
    <n v="19"/>
    <n v="1429.93"/>
    <n v="27168.67"/>
    <n v="3.5"/>
  </r>
  <r>
    <s v="ORD10256"/>
    <x v="95"/>
    <x v="3"/>
    <x v="2"/>
    <x v="6"/>
    <n v="10"/>
    <n v="110.21"/>
    <n v="1102.0999999999999"/>
    <n v="4.9000000000000004"/>
  </r>
  <r>
    <s v="ORD10257"/>
    <x v="181"/>
    <x v="0"/>
    <x v="1"/>
    <x v="2"/>
    <n v="12"/>
    <n v="50.08"/>
    <n v="600.96"/>
    <n v="3.7"/>
  </r>
  <r>
    <s v="ORD10258"/>
    <x v="59"/>
    <x v="1"/>
    <x v="1"/>
    <x v="5"/>
    <n v="25"/>
    <n v="1237.67"/>
    <n v="30941.75"/>
    <n v="4.2"/>
  </r>
  <r>
    <s v="ORD10259"/>
    <x v="0"/>
    <x v="1"/>
    <x v="2"/>
    <x v="6"/>
    <n v="12"/>
    <n v="770.02"/>
    <n v="9240.24"/>
    <n v="4"/>
  </r>
  <r>
    <s v="ORD10260"/>
    <x v="156"/>
    <x v="2"/>
    <x v="1"/>
    <x v="5"/>
    <n v="22"/>
    <n v="912.66"/>
    <n v="20078.52"/>
    <n v="4.2"/>
  </r>
  <r>
    <s v="ORD10261"/>
    <x v="109"/>
    <x v="2"/>
    <x v="0"/>
    <x v="0"/>
    <n v="14"/>
    <n v="1120.0999999999999"/>
    <n v="15681.4"/>
    <n v="3.9"/>
  </r>
  <r>
    <s v="ORD10262"/>
    <x v="182"/>
    <x v="2"/>
    <x v="2"/>
    <x v="7"/>
    <n v="20"/>
    <n v="472.68"/>
    <n v="9453.6"/>
    <n v="4.4000000000000004"/>
  </r>
  <r>
    <s v="ORD10263"/>
    <x v="183"/>
    <x v="1"/>
    <x v="2"/>
    <x v="7"/>
    <n v="3"/>
    <n v="553.29"/>
    <n v="1659.87"/>
    <n v="4.2"/>
  </r>
  <r>
    <s v="ORD10264"/>
    <x v="91"/>
    <x v="1"/>
    <x v="2"/>
    <x v="6"/>
    <n v="10"/>
    <n v="441.85"/>
    <n v="4418.5"/>
    <n v="3.4"/>
  </r>
  <r>
    <s v="ORD10265"/>
    <x v="110"/>
    <x v="0"/>
    <x v="0"/>
    <x v="8"/>
    <n v="24"/>
    <n v="485.5"/>
    <n v="11652"/>
    <n v="3.4"/>
  </r>
  <r>
    <s v="ORD10266"/>
    <x v="184"/>
    <x v="0"/>
    <x v="1"/>
    <x v="2"/>
    <n v="20"/>
    <n v="609.20000000000005"/>
    <n v="12184"/>
    <n v="3.8"/>
  </r>
  <r>
    <s v="ORD10267"/>
    <x v="32"/>
    <x v="3"/>
    <x v="1"/>
    <x v="4"/>
    <n v="12"/>
    <n v="851.79"/>
    <n v="10221.48"/>
    <n v="3.4"/>
  </r>
  <r>
    <s v="ORD10268"/>
    <x v="185"/>
    <x v="3"/>
    <x v="0"/>
    <x v="1"/>
    <n v="6"/>
    <n v="456.93"/>
    <n v="2741.58"/>
    <n v="3.9"/>
  </r>
  <r>
    <s v="ORD10269"/>
    <x v="186"/>
    <x v="1"/>
    <x v="0"/>
    <x v="8"/>
    <n v="18"/>
    <n v="1402.38"/>
    <n v="25242.84"/>
    <n v="3.8"/>
  </r>
  <r>
    <s v="ORD10270"/>
    <x v="125"/>
    <x v="3"/>
    <x v="0"/>
    <x v="8"/>
    <n v="9"/>
    <n v="119.8"/>
    <n v="1078.2"/>
    <n v="4.5999999999999996"/>
  </r>
  <r>
    <s v="ORD10271"/>
    <x v="187"/>
    <x v="1"/>
    <x v="0"/>
    <x v="0"/>
    <n v="13"/>
    <n v="180.97"/>
    <n v="2352.61"/>
    <n v="3.7"/>
  </r>
  <r>
    <s v="ORD10272"/>
    <x v="188"/>
    <x v="3"/>
    <x v="0"/>
    <x v="8"/>
    <n v="4"/>
    <n v="716.59"/>
    <n v="2866.36"/>
    <n v="4.5"/>
  </r>
  <r>
    <s v="ORD10273"/>
    <x v="172"/>
    <x v="1"/>
    <x v="1"/>
    <x v="4"/>
    <n v="25"/>
    <n v="406.78"/>
    <n v="10169.5"/>
    <n v="3.8"/>
  </r>
  <r>
    <s v="ORD10274"/>
    <x v="189"/>
    <x v="2"/>
    <x v="0"/>
    <x v="8"/>
    <n v="21"/>
    <n v="1456.04"/>
    <n v="30576.84"/>
    <n v="3.7"/>
  </r>
  <r>
    <s v="ORD10275"/>
    <x v="190"/>
    <x v="2"/>
    <x v="2"/>
    <x v="3"/>
    <n v="17"/>
    <n v="1003.09"/>
    <n v="17052.53"/>
    <n v="3.9"/>
  </r>
  <r>
    <s v="ORD10276"/>
    <x v="36"/>
    <x v="3"/>
    <x v="2"/>
    <x v="3"/>
    <n v="22"/>
    <n v="446.93"/>
    <n v="9832.4599999999991"/>
    <n v="4.8"/>
  </r>
  <r>
    <s v="ORD10277"/>
    <x v="169"/>
    <x v="2"/>
    <x v="1"/>
    <x v="5"/>
    <n v="10"/>
    <n v="214.86"/>
    <n v="2148.6"/>
    <n v="4.2"/>
  </r>
  <r>
    <s v="ORD10278"/>
    <x v="184"/>
    <x v="0"/>
    <x v="2"/>
    <x v="7"/>
    <n v="16"/>
    <n v="843.46"/>
    <n v="13495.36"/>
    <n v="3.1"/>
  </r>
  <r>
    <s v="ORD10279"/>
    <x v="67"/>
    <x v="2"/>
    <x v="1"/>
    <x v="4"/>
    <n v="2"/>
    <n v="1407.57"/>
    <n v="2815.14"/>
    <n v="4.0999999999999996"/>
  </r>
  <r>
    <s v="ORD10280"/>
    <x v="160"/>
    <x v="0"/>
    <x v="0"/>
    <x v="1"/>
    <n v="2"/>
    <n v="119.85"/>
    <n v="239.7"/>
    <n v="4.9000000000000004"/>
  </r>
  <r>
    <s v="ORD10281"/>
    <x v="191"/>
    <x v="1"/>
    <x v="0"/>
    <x v="0"/>
    <n v="5"/>
    <n v="11.95"/>
    <n v="59.75"/>
    <n v="3.5"/>
  </r>
  <r>
    <s v="ORD10282"/>
    <x v="192"/>
    <x v="0"/>
    <x v="1"/>
    <x v="5"/>
    <n v="24"/>
    <n v="975.92"/>
    <n v="23422.080000000002"/>
    <n v="4"/>
  </r>
  <r>
    <s v="ORD10283"/>
    <x v="25"/>
    <x v="3"/>
    <x v="1"/>
    <x v="2"/>
    <n v="25"/>
    <n v="60.85"/>
    <n v="1521.25"/>
    <n v="4.0999999999999996"/>
  </r>
  <r>
    <s v="ORD10284"/>
    <x v="26"/>
    <x v="3"/>
    <x v="2"/>
    <x v="7"/>
    <n v="11"/>
    <n v="1250.3"/>
    <n v="13753.3"/>
    <n v="4"/>
  </r>
  <r>
    <s v="ORD10285"/>
    <x v="193"/>
    <x v="3"/>
    <x v="0"/>
    <x v="0"/>
    <n v="15"/>
    <n v="5.58"/>
    <n v="83.7"/>
    <n v="3.7"/>
  </r>
  <r>
    <s v="ORD10286"/>
    <x v="194"/>
    <x v="0"/>
    <x v="2"/>
    <x v="7"/>
    <n v="12"/>
    <n v="401.69"/>
    <n v="4820.28"/>
    <n v="3.6"/>
  </r>
  <r>
    <s v="ORD10287"/>
    <x v="112"/>
    <x v="3"/>
    <x v="0"/>
    <x v="0"/>
    <n v="14"/>
    <n v="476.73"/>
    <n v="6674.22"/>
    <n v="3.7"/>
  </r>
  <r>
    <s v="ORD10288"/>
    <x v="19"/>
    <x v="2"/>
    <x v="0"/>
    <x v="0"/>
    <n v="8"/>
    <n v="532.28"/>
    <n v="4258.24"/>
    <n v="4.4000000000000004"/>
  </r>
  <r>
    <s v="ORD10289"/>
    <x v="195"/>
    <x v="3"/>
    <x v="0"/>
    <x v="1"/>
    <n v="6"/>
    <n v="840.35"/>
    <n v="5042.1000000000004"/>
    <n v="3.7"/>
  </r>
  <r>
    <s v="ORD10290"/>
    <x v="121"/>
    <x v="2"/>
    <x v="2"/>
    <x v="6"/>
    <n v="2"/>
    <n v="771.6"/>
    <n v="1543.2"/>
    <n v="4"/>
  </r>
  <r>
    <s v="ORD10291"/>
    <x v="120"/>
    <x v="1"/>
    <x v="1"/>
    <x v="5"/>
    <n v="10"/>
    <n v="276.10000000000002"/>
    <n v="2761"/>
    <n v="3"/>
  </r>
  <r>
    <s v="ORD10292"/>
    <x v="114"/>
    <x v="1"/>
    <x v="2"/>
    <x v="7"/>
    <n v="5"/>
    <n v="952.06"/>
    <n v="4760.3"/>
    <n v="4.9000000000000004"/>
  </r>
  <r>
    <s v="ORD10293"/>
    <x v="161"/>
    <x v="1"/>
    <x v="0"/>
    <x v="8"/>
    <n v="1"/>
    <n v="788.6"/>
    <n v="788.6"/>
    <n v="4.3"/>
  </r>
  <r>
    <s v="ORD10294"/>
    <x v="196"/>
    <x v="0"/>
    <x v="0"/>
    <x v="0"/>
    <n v="16"/>
    <n v="1238.92"/>
    <n v="19822.72"/>
    <n v="4.2"/>
  </r>
  <r>
    <s v="ORD10295"/>
    <x v="197"/>
    <x v="0"/>
    <x v="1"/>
    <x v="5"/>
    <n v="22"/>
    <n v="1199.77"/>
    <n v="26394.94"/>
    <n v="4.5"/>
  </r>
  <r>
    <s v="ORD10296"/>
    <x v="137"/>
    <x v="0"/>
    <x v="2"/>
    <x v="7"/>
    <n v="24"/>
    <n v="1164.3699999999999"/>
    <n v="27944.880000000001"/>
    <n v="3.5"/>
  </r>
  <r>
    <s v="ORD10297"/>
    <x v="198"/>
    <x v="0"/>
    <x v="1"/>
    <x v="4"/>
    <n v="6"/>
    <n v="74.84"/>
    <n v="449.04"/>
    <n v="4.9000000000000004"/>
  </r>
  <r>
    <s v="ORD10298"/>
    <x v="99"/>
    <x v="2"/>
    <x v="1"/>
    <x v="2"/>
    <n v="14"/>
    <n v="146.1"/>
    <n v="2045.4"/>
    <n v="3.3"/>
  </r>
  <r>
    <s v="ORD10299"/>
    <x v="79"/>
    <x v="2"/>
    <x v="2"/>
    <x v="3"/>
    <n v="11"/>
    <n v="318.83999999999997"/>
    <n v="3507.24"/>
    <n v="4.3"/>
  </r>
  <r>
    <s v="ORD10300"/>
    <x v="199"/>
    <x v="2"/>
    <x v="1"/>
    <x v="2"/>
    <n v="13"/>
    <n v="334.9"/>
    <n v="4353.7"/>
    <n v="4.9000000000000004"/>
  </r>
  <r>
    <s v="ORD10301"/>
    <x v="200"/>
    <x v="0"/>
    <x v="2"/>
    <x v="6"/>
    <n v="7"/>
    <n v="896.55"/>
    <n v="6275.85"/>
    <n v="3.8"/>
  </r>
  <r>
    <s v="ORD10302"/>
    <x v="184"/>
    <x v="1"/>
    <x v="2"/>
    <x v="6"/>
    <n v="21"/>
    <n v="1045.2"/>
    <n v="21949.200000000001"/>
    <n v="4.0999999999999996"/>
  </r>
  <r>
    <s v="ORD10303"/>
    <x v="2"/>
    <x v="1"/>
    <x v="2"/>
    <x v="3"/>
    <n v="16"/>
    <n v="671.09"/>
    <n v="10737.44"/>
    <n v="3.7"/>
  </r>
  <r>
    <s v="ORD10304"/>
    <x v="13"/>
    <x v="0"/>
    <x v="2"/>
    <x v="3"/>
    <n v="24"/>
    <n v="736.19"/>
    <n v="17668.560000000001"/>
    <n v="4.8"/>
  </r>
  <r>
    <s v="ORD10305"/>
    <x v="201"/>
    <x v="2"/>
    <x v="0"/>
    <x v="1"/>
    <n v="23"/>
    <n v="125.59"/>
    <n v="2888.57"/>
    <n v="3.8"/>
  </r>
  <r>
    <s v="ORD10306"/>
    <x v="202"/>
    <x v="2"/>
    <x v="0"/>
    <x v="8"/>
    <n v="9"/>
    <n v="1311.44"/>
    <n v="11802.96"/>
    <n v="4.4000000000000004"/>
  </r>
  <r>
    <s v="ORD10307"/>
    <x v="203"/>
    <x v="2"/>
    <x v="1"/>
    <x v="4"/>
    <n v="6"/>
    <n v="432.03"/>
    <n v="2592.1799999999998"/>
    <n v="4.7"/>
  </r>
  <r>
    <s v="ORD10308"/>
    <x v="204"/>
    <x v="0"/>
    <x v="2"/>
    <x v="6"/>
    <n v="4"/>
    <n v="1097.44"/>
    <n v="4389.76"/>
    <n v="3.3"/>
  </r>
  <r>
    <s v="ORD10309"/>
    <x v="204"/>
    <x v="3"/>
    <x v="0"/>
    <x v="1"/>
    <n v="1"/>
    <n v="303.75"/>
    <n v="303.75"/>
    <n v="4.0999999999999996"/>
  </r>
  <r>
    <s v="ORD10310"/>
    <x v="19"/>
    <x v="1"/>
    <x v="1"/>
    <x v="5"/>
    <n v="2"/>
    <n v="132.80000000000001"/>
    <n v="265.60000000000002"/>
    <n v="3.3"/>
  </r>
  <r>
    <s v="ORD10311"/>
    <x v="205"/>
    <x v="0"/>
    <x v="1"/>
    <x v="5"/>
    <n v="16"/>
    <n v="1391.86"/>
    <n v="22269.759999999998"/>
    <n v="4.2"/>
  </r>
  <r>
    <s v="ORD10312"/>
    <x v="130"/>
    <x v="2"/>
    <x v="2"/>
    <x v="3"/>
    <n v="19"/>
    <n v="363.58"/>
    <n v="6908.02"/>
    <n v="3.2"/>
  </r>
  <r>
    <s v="ORD10313"/>
    <x v="206"/>
    <x v="0"/>
    <x v="2"/>
    <x v="3"/>
    <n v="7"/>
    <n v="902.47"/>
    <n v="6317.29"/>
    <n v="3.4"/>
  </r>
  <r>
    <s v="ORD10314"/>
    <x v="62"/>
    <x v="1"/>
    <x v="1"/>
    <x v="2"/>
    <n v="14"/>
    <n v="1472.61"/>
    <n v="20616.54"/>
    <n v="3.9"/>
  </r>
  <r>
    <s v="ORD10315"/>
    <x v="207"/>
    <x v="3"/>
    <x v="1"/>
    <x v="4"/>
    <n v="4"/>
    <n v="653.47"/>
    <n v="2613.88"/>
    <n v="3.1"/>
  </r>
  <r>
    <s v="ORD10316"/>
    <x v="175"/>
    <x v="3"/>
    <x v="0"/>
    <x v="1"/>
    <n v="4"/>
    <n v="116.51"/>
    <n v="466.04"/>
    <n v="3.6"/>
  </r>
  <r>
    <s v="ORD10317"/>
    <x v="208"/>
    <x v="0"/>
    <x v="2"/>
    <x v="6"/>
    <n v="22"/>
    <n v="917.82"/>
    <n v="20192.04"/>
    <n v="3.2"/>
  </r>
  <r>
    <s v="ORD10318"/>
    <x v="44"/>
    <x v="0"/>
    <x v="1"/>
    <x v="5"/>
    <n v="16"/>
    <n v="1482.59"/>
    <n v="23721.439999999999"/>
    <n v="4.0999999999999996"/>
  </r>
  <r>
    <s v="ORD10319"/>
    <x v="155"/>
    <x v="0"/>
    <x v="1"/>
    <x v="4"/>
    <n v="5"/>
    <n v="932.42"/>
    <n v="4662.1000000000004"/>
    <n v="3.7"/>
  </r>
  <r>
    <s v="ORD10320"/>
    <x v="105"/>
    <x v="1"/>
    <x v="1"/>
    <x v="5"/>
    <n v="22"/>
    <n v="154.9"/>
    <n v="3407.8"/>
    <n v="3.8"/>
  </r>
  <r>
    <s v="ORD10321"/>
    <x v="98"/>
    <x v="1"/>
    <x v="0"/>
    <x v="8"/>
    <n v="5"/>
    <n v="1303.3699999999999"/>
    <n v="6516.85"/>
    <n v="4.2"/>
  </r>
  <r>
    <s v="ORD10322"/>
    <x v="18"/>
    <x v="3"/>
    <x v="2"/>
    <x v="6"/>
    <n v="20"/>
    <n v="1375.2"/>
    <n v="27504"/>
    <n v="4.9000000000000004"/>
  </r>
  <r>
    <s v="ORD10323"/>
    <x v="209"/>
    <x v="3"/>
    <x v="1"/>
    <x v="4"/>
    <n v="15"/>
    <n v="1229.04"/>
    <n v="18435.599999999999"/>
    <n v="3.4"/>
  </r>
  <r>
    <s v="ORD10324"/>
    <x v="210"/>
    <x v="1"/>
    <x v="2"/>
    <x v="7"/>
    <n v="24"/>
    <n v="1317.58"/>
    <n v="31621.919999999998"/>
    <n v="3.5"/>
  </r>
  <r>
    <s v="ORD10325"/>
    <x v="42"/>
    <x v="3"/>
    <x v="0"/>
    <x v="0"/>
    <n v="14"/>
    <n v="829.2"/>
    <n v="11608.8"/>
    <n v="3.6"/>
  </r>
  <r>
    <s v="ORD10326"/>
    <x v="170"/>
    <x v="0"/>
    <x v="0"/>
    <x v="8"/>
    <n v="18"/>
    <n v="1149.1099999999999"/>
    <n v="20683.98"/>
    <n v="4"/>
  </r>
  <r>
    <s v="ORD10327"/>
    <x v="211"/>
    <x v="3"/>
    <x v="2"/>
    <x v="6"/>
    <n v="20"/>
    <n v="1292.96"/>
    <n v="25859.200000000001"/>
    <n v="4.3"/>
  </r>
  <r>
    <s v="ORD10328"/>
    <x v="160"/>
    <x v="1"/>
    <x v="0"/>
    <x v="0"/>
    <n v="22"/>
    <n v="659.2"/>
    <n v="14502.4"/>
    <n v="4"/>
  </r>
  <r>
    <s v="ORD10329"/>
    <x v="212"/>
    <x v="2"/>
    <x v="2"/>
    <x v="6"/>
    <n v="21"/>
    <n v="1014.3"/>
    <n v="21300.3"/>
    <n v="3"/>
  </r>
  <r>
    <s v="ORD10330"/>
    <x v="213"/>
    <x v="3"/>
    <x v="2"/>
    <x v="7"/>
    <n v="3"/>
    <n v="1454.74"/>
    <n v="4364.22"/>
    <n v="3.3"/>
  </r>
  <r>
    <s v="ORD10331"/>
    <x v="214"/>
    <x v="3"/>
    <x v="1"/>
    <x v="2"/>
    <n v="11"/>
    <n v="626.17999999999995"/>
    <n v="6887.98"/>
    <n v="3.9"/>
  </r>
  <r>
    <s v="ORD10332"/>
    <x v="83"/>
    <x v="3"/>
    <x v="0"/>
    <x v="0"/>
    <n v="18"/>
    <n v="1191.29"/>
    <n v="21443.22"/>
    <n v="4.0999999999999996"/>
  </r>
  <r>
    <s v="ORD10333"/>
    <x v="215"/>
    <x v="2"/>
    <x v="2"/>
    <x v="6"/>
    <n v="14"/>
    <n v="234.57"/>
    <n v="3283.98"/>
    <n v="3.8"/>
  </r>
  <r>
    <s v="ORD10334"/>
    <x v="216"/>
    <x v="2"/>
    <x v="1"/>
    <x v="4"/>
    <n v="17"/>
    <n v="852.79"/>
    <n v="14497.43"/>
    <n v="4"/>
  </r>
  <r>
    <s v="ORD10335"/>
    <x v="217"/>
    <x v="0"/>
    <x v="1"/>
    <x v="5"/>
    <n v="9"/>
    <n v="289.94"/>
    <n v="2609.46"/>
    <n v="4.2"/>
  </r>
  <r>
    <s v="ORD10336"/>
    <x v="218"/>
    <x v="1"/>
    <x v="0"/>
    <x v="8"/>
    <n v="3"/>
    <n v="1329.81"/>
    <n v="3989.43"/>
    <n v="3.8"/>
  </r>
  <r>
    <s v="ORD10337"/>
    <x v="90"/>
    <x v="0"/>
    <x v="2"/>
    <x v="3"/>
    <n v="22"/>
    <n v="645.72"/>
    <n v="14205.84"/>
    <n v="3.1"/>
  </r>
  <r>
    <s v="ORD10338"/>
    <x v="219"/>
    <x v="2"/>
    <x v="2"/>
    <x v="6"/>
    <n v="13"/>
    <n v="716.05"/>
    <n v="9308.65"/>
    <n v="3.7"/>
  </r>
  <r>
    <s v="ORD10339"/>
    <x v="220"/>
    <x v="2"/>
    <x v="1"/>
    <x v="5"/>
    <n v="19"/>
    <n v="1078.3599999999999"/>
    <n v="20488.84"/>
    <n v="3.6"/>
  </r>
  <r>
    <s v="ORD10340"/>
    <x v="127"/>
    <x v="2"/>
    <x v="0"/>
    <x v="1"/>
    <n v="21"/>
    <n v="242.67"/>
    <n v="5096.07"/>
    <n v="3.3"/>
  </r>
  <r>
    <s v="ORD10341"/>
    <x v="97"/>
    <x v="3"/>
    <x v="1"/>
    <x v="5"/>
    <n v="1"/>
    <n v="1357.15"/>
    <n v="1357.15"/>
    <n v="4.0999999999999996"/>
  </r>
  <r>
    <s v="ORD10342"/>
    <x v="44"/>
    <x v="0"/>
    <x v="1"/>
    <x v="5"/>
    <n v="15"/>
    <n v="1455.24"/>
    <n v="21828.6"/>
    <n v="3.3"/>
  </r>
  <r>
    <s v="ORD10343"/>
    <x v="183"/>
    <x v="0"/>
    <x v="1"/>
    <x v="4"/>
    <n v="1"/>
    <n v="70.010000000000005"/>
    <n v="70.010000000000005"/>
    <n v="3.6"/>
  </r>
  <r>
    <s v="ORD10344"/>
    <x v="203"/>
    <x v="1"/>
    <x v="2"/>
    <x v="6"/>
    <n v="24"/>
    <n v="1039.23"/>
    <n v="24941.52"/>
    <n v="3.4"/>
  </r>
  <r>
    <s v="ORD10345"/>
    <x v="221"/>
    <x v="0"/>
    <x v="2"/>
    <x v="7"/>
    <n v="15"/>
    <n v="745.83"/>
    <n v="11187.45"/>
    <n v="3.6"/>
  </r>
  <r>
    <s v="ORD10346"/>
    <x v="222"/>
    <x v="1"/>
    <x v="0"/>
    <x v="8"/>
    <n v="3"/>
    <n v="226.05"/>
    <n v="678.15"/>
    <n v="4.0999999999999996"/>
  </r>
  <r>
    <s v="ORD10347"/>
    <x v="65"/>
    <x v="0"/>
    <x v="2"/>
    <x v="6"/>
    <n v="5"/>
    <n v="835.47"/>
    <n v="4177.3500000000004"/>
    <n v="4.9000000000000004"/>
  </r>
  <r>
    <s v="ORD10348"/>
    <x v="91"/>
    <x v="0"/>
    <x v="0"/>
    <x v="0"/>
    <n v="18"/>
    <n v="110.47"/>
    <n v="1988.46"/>
    <n v="4.9000000000000004"/>
  </r>
  <r>
    <s v="ORD10349"/>
    <x v="219"/>
    <x v="0"/>
    <x v="2"/>
    <x v="7"/>
    <n v="5"/>
    <n v="7.16"/>
    <n v="35.799999999999997"/>
    <n v="3.5"/>
  </r>
  <r>
    <s v="ORD10350"/>
    <x v="223"/>
    <x v="2"/>
    <x v="2"/>
    <x v="6"/>
    <n v="17"/>
    <n v="764.42"/>
    <n v="12995.14"/>
    <n v="4.5999999999999996"/>
  </r>
  <r>
    <s v="ORD10351"/>
    <x v="224"/>
    <x v="3"/>
    <x v="1"/>
    <x v="2"/>
    <n v="25"/>
    <n v="931.87"/>
    <n v="23296.75"/>
    <n v="3.6"/>
  </r>
  <r>
    <s v="ORD10352"/>
    <x v="225"/>
    <x v="3"/>
    <x v="2"/>
    <x v="3"/>
    <n v="19"/>
    <n v="1240.25"/>
    <n v="23564.75"/>
    <n v="3.3"/>
  </r>
  <r>
    <s v="ORD10353"/>
    <x v="25"/>
    <x v="2"/>
    <x v="1"/>
    <x v="4"/>
    <n v="20"/>
    <n v="1322.74"/>
    <n v="26454.799999999999"/>
    <n v="3"/>
  </r>
  <r>
    <s v="ORD10354"/>
    <x v="48"/>
    <x v="0"/>
    <x v="2"/>
    <x v="6"/>
    <n v="23"/>
    <n v="861.19"/>
    <n v="19807.37"/>
    <n v="4.4000000000000004"/>
  </r>
  <r>
    <s v="ORD10355"/>
    <x v="226"/>
    <x v="1"/>
    <x v="1"/>
    <x v="5"/>
    <n v="21"/>
    <n v="752.39"/>
    <n v="15800.19"/>
    <n v="4.0999999999999996"/>
  </r>
  <r>
    <s v="ORD10356"/>
    <x v="227"/>
    <x v="1"/>
    <x v="0"/>
    <x v="1"/>
    <n v="9"/>
    <n v="1349.42"/>
    <n v="12144.78"/>
    <n v="4.5"/>
  </r>
  <r>
    <s v="ORD10357"/>
    <x v="59"/>
    <x v="2"/>
    <x v="1"/>
    <x v="4"/>
    <n v="16"/>
    <n v="99.34"/>
    <n v="1589.44"/>
    <n v="4.5"/>
  </r>
  <r>
    <s v="ORD10358"/>
    <x v="41"/>
    <x v="0"/>
    <x v="1"/>
    <x v="4"/>
    <n v="7"/>
    <n v="219.24"/>
    <n v="1534.68"/>
    <n v="3.1"/>
  </r>
  <r>
    <s v="ORD10359"/>
    <x v="7"/>
    <x v="3"/>
    <x v="2"/>
    <x v="3"/>
    <n v="25"/>
    <n v="1112.7"/>
    <n v="27817.5"/>
    <n v="4.4000000000000004"/>
  </r>
  <r>
    <s v="ORD10360"/>
    <x v="90"/>
    <x v="1"/>
    <x v="1"/>
    <x v="4"/>
    <n v="14"/>
    <n v="1195.29"/>
    <n v="16734.060000000001"/>
    <n v="4.2"/>
  </r>
  <r>
    <s v="ORD10361"/>
    <x v="138"/>
    <x v="0"/>
    <x v="0"/>
    <x v="8"/>
    <n v="3"/>
    <n v="799.95"/>
    <n v="2399.85"/>
    <n v="4.2"/>
  </r>
  <r>
    <s v="ORD10362"/>
    <x v="162"/>
    <x v="3"/>
    <x v="1"/>
    <x v="4"/>
    <n v="20"/>
    <n v="1240.95"/>
    <n v="24819"/>
    <n v="4.5999999999999996"/>
  </r>
  <r>
    <s v="ORD10363"/>
    <x v="157"/>
    <x v="1"/>
    <x v="1"/>
    <x v="4"/>
    <n v="11"/>
    <n v="200.78"/>
    <n v="2208.58"/>
    <n v="3.3"/>
  </r>
  <r>
    <s v="ORD10364"/>
    <x v="89"/>
    <x v="2"/>
    <x v="1"/>
    <x v="4"/>
    <n v="25"/>
    <n v="329.36"/>
    <n v="8234"/>
    <n v="4.5999999999999996"/>
  </r>
  <r>
    <s v="ORD10365"/>
    <x v="228"/>
    <x v="0"/>
    <x v="0"/>
    <x v="1"/>
    <n v="9"/>
    <n v="693.64"/>
    <n v="6242.76"/>
    <n v="5"/>
  </r>
  <r>
    <s v="ORD10366"/>
    <x v="229"/>
    <x v="2"/>
    <x v="0"/>
    <x v="0"/>
    <n v="6"/>
    <n v="482.48"/>
    <n v="2894.88"/>
    <n v="4.3"/>
  </r>
  <r>
    <s v="ORD10367"/>
    <x v="230"/>
    <x v="2"/>
    <x v="0"/>
    <x v="8"/>
    <n v="24"/>
    <n v="1344.73"/>
    <n v="32273.52"/>
    <n v="3"/>
  </r>
  <r>
    <s v="ORD10368"/>
    <x v="231"/>
    <x v="0"/>
    <x v="0"/>
    <x v="8"/>
    <n v="2"/>
    <n v="1013.34"/>
    <n v="2026.68"/>
    <n v="3.3"/>
  </r>
  <r>
    <s v="ORD10369"/>
    <x v="106"/>
    <x v="3"/>
    <x v="0"/>
    <x v="0"/>
    <n v="24"/>
    <n v="721.85"/>
    <n v="17324.400000000001"/>
    <n v="3.4"/>
  </r>
  <r>
    <s v="ORD10370"/>
    <x v="232"/>
    <x v="0"/>
    <x v="2"/>
    <x v="7"/>
    <n v="9"/>
    <n v="1391"/>
    <n v="12519"/>
    <n v="4.7"/>
  </r>
  <r>
    <s v="ORD10371"/>
    <x v="233"/>
    <x v="2"/>
    <x v="1"/>
    <x v="5"/>
    <n v="3"/>
    <n v="173.72"/>
    <n v="521.16"/>
    <n v="3.9"/>
  </r>
  <r>
    <s v="ORD10372"/>
    <x v="129"/>
    <x v="0"/>
    <x v="1"/>
    <x v="2"/>
    <n v="9"/>
    <n v="251.6"/>
    <n v="2264.4"/>
    <n v="4.9000000000000004"/>
  </r>
  <r>
    <s v="ORD10373"/>
    <x v="234"/>
    <x v="3"/>
    <x v="0"/>
    <x v="0"/>
    <n v="17"/>
    <n v="1156.45"/>
    <n v="19659.650000000001"/>
    <n v="4.0999999999999996"/>
  </r>
  <r>
    <s v="ORD10374"/>
    <x v="235"/>
    <x v="3"/>
    <x v="0"/>
    <x v="8"/>
    <n v="22"/>
    <n v="98.84"/>
    <n v="2174.48"/>
    <n v="4.3"/>
  </r>
  <r>
    <s v="ORD10375"/>
    <x v="236"/>
    <x v="2"/>
    <x v="1"/>
    <x v="5"/>
    <n v="2"/>
    <n v="750.58"/>
    <n v="1501.16"/>
    <n v="3.7"/>
  </r>
  <r>
    <s v="ORD10376"/>
    <x v="125"/>
    <x v="0"/>
    <x v="0"/>
    <x v="0"/>
    <n v="3"/>
    <n v="602.58000000000004"/>
    <n v="1807.74"/>
    <n v="3.7"/>
  </r>
  <r>
    <s v="ORD10377"/>
    <x v="236"/>
    <x v="2"/>
    <x v="1"/>
    <x v="4"/>
    <n v="7"/>
    <n v="1434.83"/>
    <n v="10043.81"/>
    <n v="4.4000000000000004"/>
  </r>
  <r>
    <s v="ORD10378"/>
    <x v="237"/>
    <x v="1"/>
    <x v="0"/>
    <x v="0"/>
    <n v="22"/>
    <n v="284.23"/>
    <n v="6253.06"/>
    <n v="4.3"/>
  </r>
  <r>
    <s v="ORD10379"/>
    <x v="238"/>
    <x v="3"/>
    <x v="1"/>
    <x v="5"/>
    <n v="9"/>
    <n v="1412.42"/>
    <n v="12711.78"/>
    <n v="4.3"/>
  </r>
  <r>
    <s v="ORD10380"/>
    <x v="239"/>
    <x v="3"/>
    <x v="2"/>
    <x v="3"/>
    <n v="2"/>
    <n v="1318.09"/>
    <n v="2636.18"/>
    <n v="4.0999999999999996"/>
  </r>
  <r>
    <s v="ORD10381"/>
    <x v="240"/>
    <x v="1"/>
    <x v="2"/>
    <x v="6"/>
    <n v="1"/>
    <n v="459.42"/>
    <n v="459.42"/>
    <n v="4.7"/>
  </r>
  <r>
    <s v="ORD10382"/>
    <x v="142"/>
    <x v="3"/>
    <x v="2"/>
    <x v="6"/>
    <n v="14"/>
    <n v="209.6"/>
    <n v="2934.4"/>
    <n v="3.2"/>
  </r>
  <r>
    <s v="ORD10383"/>
    <x v="241"/>
    <x v="1"/>
    <x v="0"/>
    <x v="8"/>
    <n v="9"/>
    <n v="1470.52"/>
    <n v="13234.68"/>
    <n v="4.2"/>
  </r>
  <r>
    <s v="ORD10384"/>
    <x v="30"/>
    <x v="3"/>
    <x v="0"/>
    <x v="1"/>
    <n v="6"/>
    <n v="733.42"/>
    <n v="4400.5200000000004"/>
    <n v="4.9000000000000004"/>
  </r>
  <r>
    <s v="ORD10385"/>
    <x v="54"/>
    <x v="3"/>
    <x v="1"/>
    <x v="2"/>
    <n v="22"/>
    <n v="282.39"/>
    <n v="6212.58"/>
    <n v="5"/>
  </r>
  <r>
    <s v="ORD10386"/>
    <x v="242"/>
    <x v="3"/>
    <x v="1"/>
    <x v="2"/>
    <n v="15"/>
    <n v="731.55"/>
    <n v="10973.25"/>
    <n v="3.5"/>
  </r>
  <r>
    <s v="ORD10387"/>
    <x v="86"/>
    <x v="2"/>
    <x v="1"/>
    <x v="5"/>
    <n v="24"/>
    <n v="154.38"/>
    <n v="3705.12"/>
    <n v="4.9000000000000004"/>
  </r>
  <r>
    <s v="ORD10388"/>
    <x v="243"/>
    <x v="2"/>
    <x v="2"/>
    <x v="7"/>
    <n v="5"/>
    <n v="1238.3599999999999"/>
    <n v="6191.8"/>
    <n v="5"/>
  </r>
  <r>
    <s v="ORD10389"/>
    <x v="141"/>
    <x v="0"/>
    <x v="2"/>
    <x v="3"/>
    <n v="20"/>
    <n v="716.27"/>
    <n v="14325.4"/>
    <n v="4.3"/>
  </r>
  <r>
    <s v="ORD10390"/>
    <x v="152"/>
    <x v="3"/>
    <x v="2"/>
    <x v="6"/>
    <n v="15"/>
    <n v="1423.09"/>
    <n v="21346.35"/>
    <n v="3.2"/>
  </r>
  <r>
    <s v="ORD10391"/>
    <x v="173"/>
    <x v="3"/>
    <x v="0"/>
    <x v="0"/>
    <n v="21"/>
    <n v="573.49"/>
    <n v="12043.29"/>
    <n v="3.6"/>
  </r>
  <r>
    <s v="ORD10392"/>
    <x v="30"/>
    <x v="0"/>
    <x v="1"/>
    <x v="4"/>
    <n v="21"/>
    <n v="1439.41"/>
    <n v="30227.61"/>
    <n v="4.2"/>
  </r>
  <r>
    <s v="ORD10393"/>
    <x v="162"/>
    <x v="2"/>
    <x v="2"/>
    <x v="7"/>
    <n v="12"/>
    <n v="1333.9"/>
    <n v="16006.8"/>
    <n v="3.4"/>
  </r>
  <r>
    <s v="ORD10394"/>
    <x v="244"/>
    <x v="0"/>
    <x v="2"/>
    <x v="6"/>
    <n v="3"/>
    <n v="1079.82"/>
    <n v="3239.46"/>
    <n v="4.5"/>
  </r>
  <r>
    <s v="ORD10395"/>
    <x v="95"/>
    <x v="1"/>
    <x v="1"/>
    <x v="4"/>
    <n v="13"/>
    <n v="187.82"/>
    <n v="2441.66"/>
    <n v="3"/>
  </r>
  <r>
    <s v="ORD10396"/>
    <x v="68"/>
    <x v="3"/>
    <x v="2"/>
    <x v="3"/>
    <n v="3"/>
    <n v="1232.57"/>
    <n v="3697.71"/>
    <n v="4.7"/>
  </r>
  <r>
    <s v="ORD10397"/>
    <x v="155"/>
    <x v="1"/>
    <x v="2"/>
    <x v="6"/>
    <n v="2"/>
    <n v="49.7"/>
    <n v="99.4"/>
    <n v="4.9000000000000004"/>
  </r>
  <r>
    <s v="ORD10398"/>
    <x v="233"/>
    <x v="3"/>
    <x v="1"/>
    <x v="4"/>
    <n v="1"/>
    <n v="837.79"/>
    <n v="837.79"/>
    <n v="3.8"/>
  </r>
  <r>
    <s v="ORD10399"/>
    <x v="245"/>
    <x v="1"/>
    <x v="2"/>
    <x v="7"/>
    <n v="22"/>
    <n v="347.18"/>
    <n v="7637.96"/>
    <n v="4.2"/>
  </r>
  <r>
    <s v="ORD10400"/>
    <x v="227"/>
    <x v="0"/>
    <x v="1"/>
    <x v="2"/>
    <n v="12"/>
    <n v="1313.96"/>
    <n v="15767.52"/>
    <n v="3.8"/>
  </r>
  <r>
    <s v="ORD10401"/>
    <x v="114"/>
    <x v="1"/>
    <x v="1"/>
    <x v="2"/>
    <n v="10"/>
    <n v="965.52"/>
    <n v="9655.2000000000007"/>
    <n v="4.0999999999999996"/>
  </r>
  <r>
    <s v="ORD10402"/>
    <x v="174"/>
    <x v="2"/>
    <x v="2"/>
    <x v="7"/>
    <n v="21"/>
    <n v="574.84"/>
    <n v="12071.64"/>
    <n v="4.5"/>
  </r>
  <r>
    <s v="ORD10403"/>
    <x v="243"/>
    <x v="0"/>
    <x v="1"/>
    <x v="4"/>
    <n v="21"/>
    <n v="1179.95"/>
    <n v="24778.95"/>
    <n v="3.7"/>
  </r>
  <r>
    <s v="ORD10404"/>
    <x v="131"/>
    <x v="3"/>
    <x v="0"/>
    <x v="0"/>
    <n v="10"/>
    <n v="1066.6099999999999"/>
    <n v="10666.1"/>
    <n v="3.1"/>
  </r>
  <r>
    <s v="ORD10405"/>
    <x v="163"/>
    <x v="1"/>
    <x v="1"/>
    <x v="5"/>
    <n v="3"/>
    <n v="261.48"/>
    <n v="784.44"/>
    <n v="3.8"/>
  </r>
  <r>
    <s v="ORD10406"/>
    <x v="246"/>
    <x v="0"/>
    <x v="1"/>
    <x v="4"/>
    <n v="18"/>
    <n v="577.12"/>
    <n v="10388.16"/>
    <n v="3.2"/>
  </r>
  <r>
    <s v="ORD10407"/>
    <x v="130"/>
    <x v="1"/>
    <x v="0"/>
    <x v="8"/>
    <n v="17"/>
    <n v="1438.98"/>
    <n v="24462.66"/>
    <n v="3.9"/>
  </r>
  <r>
    <s v="ORD10408"/>
    <x v="247"/>
    <x v="0"/>
    <x v="2"/>
    <x v="7"/>
    <n v="21"/>
    <n v="668.26"/>
    <n v="14033.46"/>
    <n v="3.8"/>
  </r>
  <r>
    <s v="ORD10409"/>
    <x v="145"/>
    <x v="0"/>
    <x v="2"/>
    <x v="3"/>
    <n v="13"/>
    <n v="1462.03"/>
    <n v="19006.39"/>
    <n v="3.9"/>
  </r>
  <r>
    <s v="ORD10410"/>
    <x v="81"/>
    <x v="2"/>
    <x v="2"/>
    <x v="3"/>
    <n v="13"/>
    <n v="1183.17"/>
    <n v="15381.21"/>
    <n v="3.1"/>
  </r>
  <r>
    <s v="ORD10411"/>
    <x v="59"/>
    <x v="2"/>
    <x v="2"/>
    <x v="7"/>
    <n v="1"/>
    <n v="231.71"/>
    <n v="231.71"/>
    <n v="4"/>
  </r>
  <r>
    <s v="ORD10412"/>
    <x v="192"/>
    <x v="0"/>
    <x v="0"/>
    <x v="1"/>
    <n v="11"/>
    <n v="638.65"/>
    <n v="7025.15"/>
    <n v="4.7"/>
  </r>
  <r>
    <s v="ORD10413"/>
    <x v="248"/>
    <x v="1"/>
    <x v="0"/>
    <x v="8"/>
    <n v="13"/>
    <n v="1424.72"/>
    <n v="18521.36"/>
    <n v="4.5999999999999996"/>
  </r>
  <r>
    <s v="ORD10414"/>
    <x v="210"/>
    <x v="2"/>
    <x v="1"/>
    <x v="4"/>
    <n v="7"/>
    <n v="386.18"/>
    <n v="2703.26"/>
    <n v="3.1"/>
  </r>
  <r>
    <s v="ORD10415"/>
    <x v="197"/>
    <x v="2"/>
    <x v="1"/>
    <x v="4"/>
    <n v="11"/>
    <n v="1265.55"/>
    <n v="13921.05"/>
    <n v="3.3"/>
  </r>
  <r>
    <s v="ORD10416"/>
    <x v="71"/>
    <x v="2"/>
    <x v="0"/>
    <x v="8"/>
    <n v="19"/>
    <n v="845.4"/>
    <n v="16062.6"/>
    <n v="4.0999999999999996"/>
  </r>
  <r>
    <s v="ORD10417"/>
    <x v="187"/>
    <x v="1"/>
    <x v="0"/>
    <x v="1"/>
    <n v="15"/>
    <n v="1281.3499999999999"/>
    <n v="19220.25"/>
    <n v="3.6"/>
  </r>
  <r>
    <s v="ORD10418"/>
    <x v="225"/>
    <x v="3"/>
    <x v="1"/>
    <x v="2"/>
    <n v="11"/>
    <n v="1469.96"/>
    <n v="16169.56"/>
    <n v="3.4"/>
  </r>
  <r>
    <s v="ORD10419"/>
    <x v="218"/>
    <x v="3"/>
    <x v="1"/>
    <x v="4"/>
    <n v="10"/>
    <n v="1309.1300000000001"/>
    <n v="13091.3"/>
    <n v="4.5999999999999996"/>
  </r>
  <r>
    <s v="ORD10420"/>
    <x v="39"/>
    <x v="3"/>
    <x v="0"/>
    <x v="8"/>
    <n v="4"/>
    <n v="228.17"/>
    <n v="912.68"/>
    <n v="4.3"/>
  </r>
  <r>
    <s v="ORD10421"/>
    <x v="12"/>
    <x v="3"/>
    <x v="2"/>
    <x v="3"/>
    <n v="8"/>
    <n v="672.9"/>
    <n v="5383.2"/>
    <n v="3.4"/>
  </r>
  <r>
    <s v="ORD10422"/>
    <x v="14"/>
    <x v="0"/>
    <x v="0"/>
    <x v="8"/>
    <n v="17"/>
    <n v="141.72999999999999"/>
    <n v="2409.41"/>
    <n v="3.4"/>
  </r>
  <r>
    <s v="ORD10423"/>
    <x v="68"/>
    <x v="0"/>
    <x v="0"/>
    <x v="1"/>
    <n v="8"/>
    <n v="423.73"/>
    <n v="3389.84"/>
    <n v="4.4000000000000004"/>
  </r>
  <r>
    <s v="ORD10424"/>
    <x v="141"/>
    <x v="1"/>
    <x v="1"/>
    <x v="2"/>
    <n v="7"/>
    <n v="1063.31"/>
    <n v="7443.17"/>
    <n v="3.6"/>
  </r>
  <r>
    <s v="ORD10425"/>
    <x v="56"/>
    <x v="1"/>
    <x v="2"/>
    <x v="7"/>
    <n v="7"/>
    <n v="1025.1199999999999"/>
    <n v="7175.84"/>
    <n v="4.7"/>
  </r>
  <r>
    <s v="ORD10426"/>
    <x v="249"/>
    <x v="2"/>
    <x v="0"/>
    <x v="1"/>
    <n v="21"/>
    <n v="505.72"/>
    <n v="10620.12"/>
    <n v="3.1"/>
  </r>
  <r>
    <s v="ORD10427"/>
    <x v="250"/>
    <x v="3"/>
    <x v="1"/>
    <x v="4"/>
    <n v="17"/>
    <n v="1200.74"/>
    <n v="20412.580000000002"/>
    <n v="4.3"/>
  </r>
  <r>
    <s v="ORD10428"/>
    <x v="212"/>
    <x v="2"/>
    <x v="0"/>
    <x v="1"/>
    <n v="16"/>
    <n v="637.89"/>
    <n v="10206.24"/>
    <n v="3.8"/>
  </r>
  <r>
    <s v="ORD10429"/>
    <x v="251"/>
    <x v="1"/>
    <x v="2"/>
    <x v="7"/>
    <n v="12"/>
    <n v="1018.5"/>
    <n v="12222"/>
    <n v="3.6"/>
  </r>
  <r>
    <s v="ORD10430"/>
    <x v="162"/>
    <x v="3"/>
    <x v="2"/>
    <x v="7"/>
    <n v="22"/>
    <n v="1064.8699999999999"/>
    <n v="23427.14"/>
    <n v="3.1"/>
  </r>
  <r>
    <s v="ORD10431"/>
    <x v="47"/>
    <x v="1"/>
    <x v="2"/>
    <x v="7"/>
    <n v="14"/>
    <n v="591.64"/>
    <n v="8282.9599999999991"/>
    <n v="4.4000000000000004"/>
  </r>
  <r>
    <s v="ORD10432"/>
    <x v="62"/>
    <x v="0"/>
    <x v="2"/>
    <x v="3"/>
    <n v="22"/>
    <n v="1491.41"/>
    <n v="32811.019999999997"/>
    <n v="4.3"/>
  </r>
  <r>
    <s v="ORD10433"/>
    <x v="252"/>
    <x v="3"/>
    <x v="2"/>
    <x v="3"/>
    <n v="5"/>
    <n v="950.4"/>
    <n v="4752"/>
    <n v="3.1"/>
  </r>
  <r>
    <s v="ORD10434"/>
    <x v="164"/>
    <x v="0"/>
    <x v="2"/>
    <x v="3"/>
    <n v="1"/>
    <n v="118.96"/>
    <n v="118.96"/>
    <n v="3.2"/>
  </r>
  <r>
    <s v="ORD10435"/>
    <x v="143"/>
    <x v="3"/>
    <x v="1"/>
    <x v="5"/>
    <n v="20"/>
    <n v="643.45000000000005"/>
    <n v="12869"/>
    <n v="4.4000000000000004"/>
  </r>
  <r>
    <s v="ORD10436"/>
    <x v="86"/>
    <x v="0"/>
    <x v="1"/>
    <x v="4"/>
    <n v="6"/>
    <n v="1259.8900000000001"/>
    <n v="7559.34"/>
    <n v="4.2"/>
  </r>
  <r>
    <s v="ORD10437"/>
    <x v="150"/>
    <x v="1"/>
    <x v="1"/>
    <x v="4"/>
    <n v="2"/>
    <n v="666.66"/>
    <n v="1333.32"/>
    <n v="4.5999999999999996"/>
  </r>
  <r>
    <s v="ORD10438"/>
    <x v="61"/>
    <x v="3"/>
    <x v="2"/>
    <x v="7"/>
    <n v="12"/>
    <n v="533.05999999999995"/>
    <n v="6396.72"/>
    <n v="4.7"/>
  </r>
  <r>
    <s v="ORD10439"/>
    <x v="74"/>
    <x v="1"/>
    <x v="2"/>
    <x v="6"/>
    <n v="7"/>
    <n v="991.13"/>
    <n v="6937.91"/>
    <n v="3.4"/>
  </r>
  <r>
    <s v="ORD10440"/>
    <x v="253"/>
    <x v="3"/>
    <x v="0"/>
    <x v="8"/>
    <n v="16"/>
    <n v="1115.1500000000001"/>
    <n v="17842.400000000001"/>
    <n v="3.4"/>
  </r>
  <r>
    <s v="ORD10441"/>
    <x v="254"/>
    <x v="1"/>
    <x v="0"/>
    <x v="8"/>
    <n v="16"/>
    <n v="1240.01"/>
    <n v="19840.16"/>
    <n v="4.5"/>
  </r>
  <r>
    <s v="ORD10442"/>
    <x v="73"/>
    <x v="3"/>
    <x v="0"/>
    <x v="8"/>
    <n v="2"/>
    <n v="815.83"/>
    <n v="1631.66"/>
    <n v="4.3"/>
  </r>
  <r>
    <s v="ORD10443"/>
    <x v="255"/>
    <x v="2"/>
    <x v="1"/>
    <x v="5"/>
    <n v="18"/>
    <n v="531.41"/>
    <n v="9565.3799999999992"/>
    <n v="3.1"/>
  </r>
  <r>
    <s v="ORD10444"/>
    <x v="232"/>
    <x v="3"/>
    <x v="1"/>
    <x v="4"/>
    <n v="21"/>
    <n v="1234.3900000000001"/>
    <n v="25922.19"/>
    <n v="3.8"/>
  </r>
  <r>
    <s v="ORD10445"/>
    <x v="170"/>
    <x v="1"/>
    <x v="1"/>
    <x v="2"/>
    <n v="19"/>
    <n v="117"/>
    <n v="2223"/>
    <n v="4.2"/>
  </r>
  <r>
    <s v="ORD10446"/>
    <x v="187"/>
    <x v="2"/>
    <x v="0"/>
    <x v="1"/>
    <n v="22"/>
    <n v="282.88"/>
    <n v="6223.36"/>
    <n v="4.5999999999999996"/>
  </r>
  <r>
    <s v="ORD10447"/>
    <x v="190"/>
    <x v="2"/>
    <x v="2"/>
    <x v="7"/>
    <n v="22"/>
    <n v="800.58"/>
    <n v="17612.759999999998"/>
    <n v="4.5999999999999996"/>
  </r>
  <r>
    <s v="ORD10448"/>
    <x v="119"/>
    <x v="0"/>
    <x v="1"/>
    <x v="2"/>
    <n v="15"/>
    <n v="681.92"/>
    <n v="10228.799999999999"/>
    <n v="4.5999999999999996"/>
  </r>
  <r>
    <s v="ORD10449"/>
    <x v="256"/>
    <x v="3"/>
    <x v="1"/>
    <x v="4"/>
    <n v="18"/>
    <n v="828.63"/>
    <n v="14915.34"/>
    <n v="3.2"/>
  </r>
  <r>
    <s v="ORD10450"/>
    <x v="257"/>
    <x v="1"/>
    <x v="2"/>
    <x v="6"/>
    <n v="10"/>
    <n v="145.34"/>
    <n v="1453.4"/>
    <n v="4.0999999999999996"/>
  </r>
  <r>
    <s v="ORD10451"/>
    <x v="139"/>
    <x v="0"/>
    <x v="2"/>
    <x v="6"/>
    <n v="9"/>
    <n v="252.27"/>
    <n v="2270.4299999999998"/>
    <n v="3.2"/>
  </r>
  <r>
    <s v="ORD10452"/>
    <x v="258"/>
    <x v="1"/>
    <x v="0"/>
    <x v="1"/>
    <n v="23"/>
    <n v="483.09"/>
    <n v="11111.07"/>
    <n v="4.7"/>
  </r>
  <r>
    <s v="ORD10453"/>
    <x v="163"/>
    <x v="1"/>
    <x v="0"/>
    <x v="1"/>
    <n v="9"/>
    <n v="1355.34"/>
    <n v="12198.06"/>
    <n v="3"/>
  </r>
  <r>
    <s v="ORD10454"/>
    <x v="259"/>
    <x v="0"/>
    <x v="1"/>
    <x v="4"/>
    <n v="9"/>
    <n v="1318.71"/>
    <n v="11868.39"/>
    <n v="4.2"/>
  </r>
  <r>
    <s v="ORD10455"/>
    <x v="12"/>
    <x v="2"/>
    <x v="2"/>
    <x v="6"/>
    <n v="10"/>
    <n v="1134.02"/>
    <n v="11340.2"/>
    <n v="4.5999999999999996"/>
  </r>
  <r>
    <s v="ORD10456"/>
    <x v="260"/>
    <x v="2"/>
    <x v="0"/>
    <x v="1"/>
    <n v="17"/>
    <n v="705.44"/>
    <n v="11992.48"/>
    <n v="4.0999999999999996"/>
  </r>
  <r>
    <s v="ORD10457"/>
    <x v="205"/>
    <x v="0"/>
    <x v="2"/>
    <x v="3"/>
    <n v="20"/>
    <n v="1380.16"/>
    <n v="27603.200000000001"/>
    <n v="3.2"/>
  </r>
  <r>
    <s v="ORD10458"/>
    <x v="35"/>
    <x v="2"/>
    <x v="1"/>
    <x v="5"/>
    <n v="19"/>
    <n v="333.67"/>
    <n v="6339.73"/>
    <n v="3.1"/>
  </r>
  <r>
    <s v="ORD10459"/>
    <x v="180"/>
    <x v="0"/>
    <x v="2"/>
    <x v="3"/>
    <n v="22"/>
    <n v="1484.19"/>
    <n v="32652.18"/>
    <n v="3.4"/>
  </r>
  <r>
    <s v="ORD10460"/>
    <x v="261"/>
    <x v="3"/>
    <x v="0"/>
    <x v="1"/>
    <n v="3"/>
    <n v="428.98"/>
    <n v="1286.94"/>
    <n v="3"/>
  </r>
  <r>
    <s v="ORD10461"/>
    <x v="244"/>
    <x v="2"/>
    <x v="1"/>
    <x v="5"/>
    <n v="22"/>
    <n v="103.4"/>
    <n v="2274.8000000000002"/>
    <n v="4.5999999999999996"/>
  </r>
  <r>
    <s v="ORD10462"/>
    <x v="262"/>
    <x v="2"/>
    <x v="0"/>
    <x v="8"/>
    <n v="17"/>
    <n v="1097.3399999999999"/>
    <n v="18654.78"/>
    <n v="3.5"/>
  </r>
  <r>
    <s v="ORD10463"/>
    <x v="263"/>
    <x v="2"/>
    <x v="1"/>
    <x v="5"/>
    <n v="23"/>
    <n v="1263.28"/>
    <n v="29055.439999999999"/>
    <n v="4.5"/>
  </r>
  <r>
    <s v="ORD10464"/>
    <x v="187"/>
    <x v="2"/>
    <x v="0"/>
    <x v="1"/>
    <n v="2"/>
    <n v="799.03"/>
    <n v="1598.06"/>
    <n v="4.5999999999999996"/>
  </r>
  <r>
    <s v="ORD10465"/>
    <x v="220"/>
    <x v="1"/>
    <x v="1"/>
    <x v="4"/>
    <n v="1"/>
    <n v="1083.8800000000001"/>
    <n v="1083.8800000000001"/>
    <n v="3.9"/>
  </r>
  <r>
    <s v="ORD10466"/>
    <x v="264"/>
    <x v="0"/>
    <x v="0"/>
    <x v="1"/>
    <n v="24"/>
    <n v="140.96"/>
    <n v="3383.04"/>
    <n v="4.4000000000000004"/>
  </r>
  <r>
    <s v="ORD10467"/>
    <x v="95"/>
    <x v="3"/>
    <x v="1"/>
    <x v="4"/>
    <n v="23"/>
    <n v="857.23"/>
    <n v="19716.29"/>
    <n v="3.2"/>
  </r>
  <r>
    <s v="ORD10468"/>
    <x v="214"/>
    <x v="3"/>
    <x v="0"/>
    <x v="1"/>
    <n v="8"/>
    <n v="1281"/>
    <n v="10248"/>
    <n v="3.8"/>
  </r>
  <r>
    <s v="ORD10469"/>
    <x v="265"/>
    <x v="0"/>
    <x v="0"/>
    <x v="8"/>
    <n v="10"/>
    <n v="590.64"/>
    <n v="5906.4"/>
    <n v="4.9000000000000004"/>
  </r>
  <r>
    <s v="ORD10470"/>
    <x v="20"/>
    <x v="2"/>
    <x v="0"/>
    <x v="0"/>
    <n v="19"/>
    <n v="734.94"/>
    <n v="13963.86"/>
    <n v="3.9"/>
  </r>
  <r>
    <s v="ORD10471"/>
    <x v="266"/>
    <x v="2"/>
    <x v="1"/>
    <x v="4"/>
    <n v="6"/>
    <n v="1125.1400000000001"/>
    <n v="6750.84"/>
    <n v="4.8"/>
  </r>
  <r>
    <s v="ORD10472"/>
    <x v="55"/>
    <x v="2"/>
    <x v="0"/>
    <x v="1"/>
    <n v="6"/>
    <n v="97"/>
    <n v="582"/>
    <n v="3.5"/>
  </r>
  <r>
    <s v="ORD10473"/>
    <x v="110"/>
    <x v="1"/>
    <x v="2"/>
    <x v="7"/>
    <n v="19"/>
    <n v="1341.82"/>
    <n v="25494.58"/>
    <n v="4.8"/>
  </r>
  <r>
    <s v="ORD10474"/>
    <x v="115"/>
    <x v="1"/>
    <x v="2"/>
    <x v="7"/>
    <n v="17"/>
    <n v="816.26"/>
    <n v="13876.42"/>
    <n v="4.5"/>
  </r>
  <r>
    <s v="ORD10475"/>
    <x v="267"/>
    <x v="0"/>
    <x v="0"/>
    <x v="1"/>
    <n v="3"/>
    <n v="833.66"/>
    <n v="2500.98"/>
    <n v="4.3"/>
  </r>
  <r>
    <s v="ORD10476"/>
    <x v="137"/>
    <x v="1"/>
    <x v="1"/>
    <x v="2"/>
    <n v="12"/>
    <n v="1185.71"/>
    <n v="14228.52"/>
    <n v="4.5999999999999996"/>
  </r>
  <r>
    <s v="ORD10477"/>
    <x v="254"/>
    <x v="0"/>
    <x v="0"/>
    <x v="0"/>
    <n v="9"/>
    <n v="1404.54"/>
    <n v="12640.86"/>
    <n v="4.2"/>
  </r>
  <r>
    <s v="ORD10478"/>
    <x v="65"/>
    <x v="3"/>
    <x v="0"/>
    <x v="0"/>
    <n v="22"/>
    <n v="1426.62"/>
    <n v="31385.64"/>
    <n v="4.5999999999999996"/>
  </r>
  <r>
    <s v="ORD10479"/>
    <x v="237"/>
    <x v="1"/>
    <x v="2"/>
    <x v="7"/>
    <n v="6"/>
    <n v="912.98"/>
    <n v="5477.88"/>
    <n v="4.8"/>
  </r>
  <r>
    <s v="ORD10480"/>
    <x v="268"/>
    <x v="2"/>
    <x v="0"/>
    <x v="8"/>
    <n v="17"/>
    <n v="455.09"/>
    <n v="7736.53"/>
    <n v="3.3"/>
  </r>
  <r>
    <s v="ORD10481"/>
    <x v="261"/>
    <x v="0"/>
    <x v="1"/>
    <x v="2"/>
    <n v="23"/>
    <n v="378.28"/>
    <n v="8700.44"/>
    <n v="4.5999999999999996"/>
  </r>
  <r>
    <s v="ORD10482"/>
    <x v="68"/>
    <x v="3"/>
    <x v="1"/>
    <x v="2"/>
    <n v="17"/>
    <n v="814.22"/>
    <n v="13841.74"/>
    <n v="3.8"/>
  </r>
  <r>
    <s v="ORD10483"/>
    <x v="269"/>
    <x v="1"/>
    <x v="2"/>
    <x v="6"/>
    <n v="12"/>
    <n v="1458"/>
    <n v="17496"/>
    <n v="4"/>
  </r>
  <r>
    <s v="ORD10484"/>
    <x v="270"/>
    <x v="0"/>
    <x v="1"/>
    <x v="4"/>
    <n v="19"/>
    <n v="568.4"/>
    <n v="10799.6"/>
    <n v="3.6"/>
  </r>
  <r>
    <s v="ORD10485"/>
    <x v="163"/>
    <x v="1"/>
    <x v="0"/>
    <x v="1"/>
    <n v="20"/>
    <n v="1392.8"/>
    <n v="27856"/>
    <n v="3.4"/>
  </r>
  <r>
    <s v="ORD10486"/>
    <x v="64"/>
    <x v="2"/>
    <x v="1"/>
    <x v="2"/>
    <n v="23"/>
    <n v="1483.05"/>
    <n v="34110.15"/>
    <n v="4.5999999999999996"/>
  </r>
  <r>
    <s v="ORD10487"/>
    <x v="0"/>
    <x v="2"/>
    <x v="0"/>
    <x v="1"/>
    <n v="9"/>
    <n v="950.6"/>
    <n v="8555.4"/>
    <n v="4.7"/>
  </r>
  <r>
    <s v="ORD10488"/>
    <x v="126"/>
    <x v="3"/>
    <x v="2"/>
    <x v="7"/>
    <n v="11"/>
    <n v="201.81"/>
    <n v="2219.91"/>
    <n v="3.9"/>
  </r>
  <r>
    <s v="ORD10489"/>
    <x v="234"/>
    <x v="2"/>
    <x v="2"/>
    <x v="7"/>
    <n v="5"/>
    <n v="804.68"/>
    <n v="4023.4"/>
    <n v="4.4000000000000004"/>
  </r>
  <r>
    <s v="ORD10490"/>
    <x v="95"/>
    <x v="2"/>
    <x v="0"/>
    <x v="8"/>
    <n v="20"/>
    <n v="418.24"/>
    <n v="8364.7999999999993"/>
    <n v="4.8"/>
  </r>
  <r>
    <s v="ORD10491"/>
    <x v="152"/>
    <x v="3"/>
    <x v="0"/>
    <x v="8"/>
    <n v="4"/>
    <n v="784.67"/>
    <n v="3138.68"/>
    <n v="4.4000000000000004"/>
  </r>
  <r>
    <s v="ORD10492"/>
    <x v="175"/>
    <x v="3"/>
    <x v="2"/>
    <x v="7"/>
    <n v="13"/>
    <n v="89.16"/>
    <n v="1159.08"/>
    <n v="4.9000000000000004"/>
  </r>
  <r>
    <s v="ORD10493"/>
    <x v="271"/>
    <x v="2"/>
    <x v="1"/>
    <x v="4"/>
    <n v="3"/>
    <n v="966.74"/>
    <n v="2900.22"/>
    <n v="4.5"/>
  </r>
  <r>
    <s v="ORD10494"/>
    <x v="39"/>
    <x v="1"/>
    <x v="2"/>
    <x v="6"/>
    <n v="15"/>
    <n v="387.29"/>
    <n v="5809.35"/>
    <n v="3"/>
  </r>
  <r>
    <s v="ORD10495"/>
    <x v="163"/>
    <x v="2"/>
    <x v="1"/>
    <x v="2"/>
    <n v="2"/>
    <n v="351.34"/>
    <n v="702.68"/>
    <n v="3.3"/>
  </r>
  <r>
    <s v="ORD10496"/>
    <x v="197"/>
    <x v="3"/>
    <x v="0"/>
    <x v="1"/>
    <n v="8"/>
    <n v="1124.8900000000001"/>
    <n v="8999.1200000000008"/>
    <n v="4.7"/>
  </r>
  <r>
    <s v="ORD10497"/>
    <x v="201"/>
    <x v="3"/>
    <x v="2"/>
    <x v="7"/>
    <n v="21"/>
    <n v="664.1"/>
    <n v="13946.1"/>
    <n v="3.9"/>
  </r>
  <r>
    <s v="ORD10498"/>
    <x v="272"/>
    <x v="1"/>
    <x v="2"/>
    <x v="6"/>
    <n v="19"/>
    <n v="743.08"/>
    <n v="14118.52"/>
    <n v="3.7"/>
  </r>
  <r>
    <s v="ORD10499"/>
    <x v="273"/>
    <x v="1"/>
    <x v="0"/>
    <x v="8"/>
    <n v="4"/>
    <n v="71.819999999999993"/>
    <n v="287.27999999999997"/>
    <n v="4.2"/>
  </r>
  <r>
    <s v="ORD10500"/>
    <x v="189"/>
    <x v="2"/>
    <x v="1"/>
    <x v="2"/>
    <n v="19"/>
    <n v="1119.42"/>
    <n v="21268.98"/>
    <n v="3.2"/>
  </r>
  <r>
    <s v="ORD10501"/>
    <x v="274"/>
    <x v="2"/>
    <x v="2"/>
    <x v="7"/>
    <n v="10"/>
    <n v="1177.8399999999999"/>
    <n v="11778.4"/>
    <n v="3.5"/>
  </r>
  <r>
    <s v="ORD10502"/>
    <x v="78"/>
    <x v="0"/>
    <x v="1"/>
    <x v="2"/>
    <n v="15"/>
    <n v="763.22"/>
    <n v="11448.3"/>
    <n v="5"/>
  </r>
  <r>
    <s v="ORD10503"/>
    <x v="107"/>
    <x v="2"/>
    <x v="0"/>
    <x v="8"/>
    <n v="11"/>
    <n v="673.19"/>
    <n v="7405.09"/>
    <n v="3.1"/>
  </r>
  <r>
    <s v="ORD10504"/>
    <x v="113"/>
    <x v="3"/>
    <x v="1"/>
    <x v="2"/>
    <n v="1"/>
    <n v="1265.9000000000001"/>
    <n v="1265.9000000000001"/>
    <n v="4.4000000000000004"/>
  </r>
  <r>
    <s v="ORD10505"/>
    <x v="124"/>
    <x v="0"/>
    <x v="0"/>
    <x v="1"/>
    <n v="18"/>
    <n v="183.71"/>
    <n v="3306.78"/>
    <n v="4.9000000000000004"/>
  </r>
  <r>
    <s v="ORD10506"/>
    <x v="84"/>
    <x v="0"/>
    <x v="1"/>
    <x v="4"/>
    <n v="9"/>
    <n v="1040.44"/>
    <n v="9363.9599999999991"/>
    <n v="3.7"/>
  </r>
  <r>
    <s v="ORD10507"/>
    <x v="275"/>
    <x v="1"/>
    <x v="1"/>
    <x v="5"/>
    <n v="11"/>
    <n v="201.73"/>
    <n v="2219.0300000000002"/>
    <n v="3.3"/>
  </r>
  <r>
    <s v="ORD10508"/>
    <x v="266"/>
    <x v="3"/>
    <x v="1"/>
    <x v="2"/>
    <n v="21"/>
    <n v="219.11"/>
    <n v="4601.3100000000004"/>
    <n v="3.4"/>
  </r>
  <r>
    <s v="ORD10509"/>
    <x v="276"/>
    <x v="1"/>
    <x v="2"/>
    <x v="6"/>
    <n v="19"/>
    <n v="663.21"/>
    <n v="12600.99"/>
    <n v="5"/>
  </r>
  <r>
    <s v="ORD10510"/>
    <x v="183"/>
    <x v="0"/>
    <x v="0"/>
    <x v="0"/>
    <n v="16"/>
    <n v="1058.53"/>
    <n v="16936.48"/>
    <n v="3.1"/>
  </r>
  <r>
    <s v="ORD10511"/>
    <x v="277"/>
    <x v="1"/>
    <x v="0"/>
    <x v="1"/>
    <n v="23"/>
    <n v="634.95000000000005"/>
    <n v="14603.85"/>
    <n v="4"/>
  </r>
  <r>
    <s v="ORD10512"/>
    <x v="278"/>
    <x v="0"/>
    <x v="2"/>
    <x v="6"/>
    <n v="21"/>
    <n v="720.52"/>
    <n v="15130.92"/>
    <n v="4"/>
  </r>
  <r>
    <s v="ORD10513"/>
    <x v="248"/>
    <x v="0"/>
    <x v="0"/>
    <x v="8"/>
    <n v="13"/>
    <n v="1199.49"/>
    <n v="15593.37"/>
    <n v="3.6"/>
  </r>
  <r>
    <s v="ORD10514"/>
    <x v="155"/>
    <x v="3"/>
    <x v="1"/>
    <x v="4"/>
    <n v="7"/>
    <n v="1487.28"/>
    <n v="10410.959999999999"/>
    <n v="3.6"/>
  </r>
  <r>
    <s v="ORD10515"/>
    <x v="102"/>
    <x v="0"/>
    <x v="0"/>
    <x v="8"/>
    <n v="18"/>
    <n v="1436.98"/>
    <n v="25865.64"/>
    <n v="3.1"/>
  </r>
  <r>
    <s v="ORD10516"/>
    <x v="279"/>
    <x v="0"/>
    <x v="0"/>
    <x v="1"/>
    <n v="21"/>
    <n v="102.39"/>
    <n v="2150.19"/>
    <n v="3.2"/>
  </r>
  <r>
    <s v="ORD10517"/>
    <x v="146"/>
    <x v="3"/>
    <x v="2"/>
    <x v="3"/>
    <n v="16"/>
    <n v="1489.88"/>
    <n v="23838.080000000002"/>
    <n v="3.5"/>
  </r>
  <r>
    <s v="ORD10518"/>
    <x v="163"/>
    <x v="2"/>
    <x v="2"/>
    <x v="3"/>
    <n v="1"/>
    <n v="951.53"/>
    <n v="951.53"/>
    <n v="4.0999999999999996"/>
  </r>
  <r>
    <s v="ORD10519"/>
    <x v="25"/>
    <x v="0"/>
    <x v="0"/>
    <x v="8"/>
    <n v="21"/>
    <n v="398.76"/>
    <n v="8373.9599999999991"/>
    <n v="4.0999999999999996"/>
  </r>
  <r>
    <s v="ORD10520"/>
    <x v="128"/>
    <x v="1"/>
    <x v="2"/>
    <x v="7"/>
    <n v="20"/>
    <n v="1193.9100000000001"/>
    <n v="23878.2"/>
    <n v="5"/>
  </r>
  <r>
    <s v="ORD10521"/>
    <x v="280"/>
    <x v="0"/>
    <x v="0"/>
    <x v="8"/>
    <n v="1"/>
    <n v="995.42"/>
    <n v="995.42"/>
    <n v="3.5"/>
  </r>
  <r>
    <s v="ORD10522"/>
    <x v="244"/>
    <x v="3"/>
    <x v="1"/>
    <x v="5"/>
    <n v="3"/>
    <n v="1166.3699999999999"/>
    <n v="3499.11"/>
    <n v="4.5999999999999996"/>
  </r>
  <r>
    <s v="ORD10523"/>
    <x v="59"/>
    <x v="0"/>
    <x v="1"/>
    <x v="2"/>
    <n v="18"/>
    <n v="1287.52"/>
    <n v="23175.360000000001"/>
    <n v="4.9000000000000004"/>
  </r>
  <r>
    <s v="ORD10524"/>
    <x v="281"/>
    <x v="1"/>
    <x v="1"/>
    <x v="5"/>
    <n v="25"/>
    <n v="1046.77"/>
    <n v="26169.25"/>
    <n v="3.6"/>
  </r>
  <r>
    <s v="ORD10525"/>
    <x v="28"/>
    <x v="1"/>
    <x v="1"/>
    <x v="4"/>
    <n v="25"/>
    <n v="722.07"/>
    <n v="18051.75"/>
    <n v="4.5999999999999996"/>
  </r>
  <r>
    <s v="ORD10526"/>
    <x v="218"/>
    <x v="2"/>
    <x v="2"/>
    <x v="7"/>
    <n v="1"/>
    <n v="1378.44"/>
    <n v="1378.44"/>
    <n v="3.6"/>
  </r>
  <r>
    <s v="ORD10527"/>
    <x v="282"/>
    <x v="2"/>
    <x v="2"/>
    <x v="7"/>
    <n v="19"/>
    <n v="570.29"/>
    <n v="10835.51"/>
    <n v="4.5"/>
  </r>
  <r>
    <s v="ORD10528"/>
    <x v="228"/>
    <x v="1"/>
    <x v="0"/>
    <x v="1"/>
    <n v="23"/>
    <n v="948.41"/>
    <n v="21813.43"/>
    <n v="4.0999999999999996"/>
  </r>
  <r>
    <s v="ORD10529"/>
    <x v="215"/>
    <x v="3"/>
    <x v="0"/>
    <x v="1"/>
    <n v="1"/>
    <n v="349.91"/>
    <n v="349.91"/>
    <n v="4.0999999999999996"/>
  </r>
  <r>
    <s v="ORD10530"/>
    <x v="34"/>
    <x v="2"/>
    <x v="2"/>
    <x v="7"/>
    <n v="5"/>
    <n v="757"/>
    <n v="3785"/>
    <n v="3.4"/>
  </r>
  <r>
    <s v="ORD10531"/>
    <x v="160"/>
    <x v="1"/>
    <x v="2"/>
    <x v="3"/>
    <n v="25"/>
    <n v="73.67"/>
    <n v="1841.75"/>
    <n v="4.8"/>
  </r>
  <r>
    <s v="ORD10532"/>
    <x v="114"/>
    <x v="0"/>
    <x v="0"/>
    <x v="0"/>
    <n v="10"/>
    <n v="1306.4100000000001"/>
    <n v="13064.1"/>
    <n v="3.8"/>
  </r>
  <r>
    <s v="ORD10533"/>
    <x v="57"/>
    <x v="3"/>
    <x v="1"/>
    <x v="4"/>
    <n v="14"/>
    <n v="399.35"/>
    <n v="5590.9"/>
    <n v="3.5"/>
  </r>
  <r>
    <s v="ORD10534"/>
    <x v="209"/>
    <x v="2"/>
    <x v="0"/>
    <x v="8"/>
    <n v="1"/>
    <n v="749.06"/>
    <n v="749.06"/>
    <n v="3.4"/>
  </r>
  <r>
    <s v="ORD10535"/>
    <x v="231"/>
    <x v="0"/>
    <x v="0"/>
    <x v="8"/>
    <n v="14"/>
    <n v="1425.08"/>
    <n v="19951.12"/>
    <n v="4.8"/>
  </r>
  <r>
    <s v="ORD10536"/>
    <x v="44"/>
    <x v="3"/>
    <x v="2"/>
    <x v="7"/>
    <n v="20"/>
    <n v="1178.82"/>
    <n v="23576.400000000001"/>
    <n v="4.8"/>
  </r>
  <r>
    <s v="ORD10537"/>
    <x v="160"/>
    <x v="3"/>
    <x v="2"/>
    <x v="3"/>
    <n v="8"/>
    <n v="183.13"/>
    <n v="1465.04"/>
    <n v="4.9000000000000004"/>
  </r>
  <r>
    <s v="ORD10538"/>
    <x v="283"/>
    <x v="2"/>
    <x v="0"/>
    <x v="0"/>
    <n v="11"/>
    <n v="181.39"/>
    <n v="1995.29"/>
    <n v="4.3"/>
  </r>
  <r>
    <s v="ORD10539"/>
    <x v="284"/>
    <x v="3"/>
    <x v="2"/>
    <x v="3"/>
    <n v="1"/>
    <n v="71.33"/>
    <n v="71.33"/>
    <n v="3.6"/>
  </r>
  <r>
    <s v="ORD10540"/>
    <x v="212"/>
    <x v="1"/>
    <x v="0"/>
    <x v="0"/>
    <n v="16"/>
    <n v="1075.46"/>
    <n v="17207.36"/>
    <n v="4.9000000000000004"/>
  </r>
  <r>
    <s v="ORD10541"/>
    <x v="60"/>
    <x v="3"/>
    <x v="0"/>
    <x v="8"/>
    <n v="13"/>
    <n v="1133.26"/>
    <n v="14732.38"/>
    <n v="4.8"/>
  </r>
  <r>
    <s v="ORD10542"/>
    <x v="65"/>
    <x v="3"/>
    <x v="2"/>
    <x v="7"/>
    <n v="11"/>
    <n v="1115.06"/>
    <n v="12265.66"/>
    <n v="4.9000000000000004"/>
  </r>
  <r>
    <s v="ORD10543"/>
    <x v="285"/>
    <x v="2"/>
    <x v="1"/>
    <x v="4"/>
    <n v="13"/>
    <n v="1452.94"/>
    <n v="18888.22"/>
    <n v="3.3"/>
  </r>
  <r>
    <s v="ORD10544"/>
    <x v="73"/>
    <x v="1"/>
    <x v="2"/>
    <x v="3"/>
    <n v="18"/>
    <n v="1067.6600000000001"/>
    <n v="19217.88"/>
    <n v="4"/>
  </r>
  <r>
    <s v="ORD10545"/>
    <x v="49"/>
    <x v="1"/>
    <x v="2"/>
    <x v="7"/>
    <n v="15"/>
    <n v="1089.93"/>
    <n v="16348.95"/>
    <n v="4"/>
  </r>
  <r>
    <s v="ORD10546"/>
    <x v="286"/>
    <x v="0"/>
    <x v="1"/>
    <x v="2"/>
    <n v="17"/>
    <n v="608.79999999999995"/>
    <n v="10349.6"/>
    <n v="3.6"/>
  </r>
  <r>
    <s v="ORD10547"/>
    <x v="216"/>
    <x v="0"/>
    <x v="0"/>
    <x v="8"/>
    <n v="22"/>
    <n v="607.62"/>
    <n v="13367.64"/>
    <n v="4.9000000000000004"/>
  </r>
  <r>
    <s v="ORD10548"/>
    <x v="274"/>
    <x v="2"/>
    <x v="1"/>
    <x v="4"/>
    <n v="21"/>
    <n v="577.33000000000004"/>
    <n v="12123.93"/>
    <n v="3.2"/>
  </r>
  <r>
    <s v="ORD10549"/>
    <x v="37"/>
    <x v="1"/>
    <x v="2"/>
    <x v="7"/>
    <n v="1"/>
    <n v="1075.33"/>
    <n v="1075.33"/>
    <n v="4.2"/>
  </r>
  <r>
    <s v="ORD10550"/>
    <x v="127"/>
    <x v="2"/>
    <x v="1"/>
    <x v="5"/>
    <n v="19"/>
    <n v="715.45"/>
    <n v="13593.55"/>
    <n v="3.6"/>
  </r>
  <r>
    <s v="ORD10551"/>
    <x v="224"/>
    <x v="2"/>
    <x v="0"/>
    <x v="1"/>
    <n v="15"/>
    <n v="276.27999999999997"/>
    <n v="4144.2"/>
    <n v="3.7"/>
  </r>
  <r>
    <s v="ORD10552"/>
    <x v="141"/>
    <x v="2"/>
    <x v="1"/>
    <x v="4"/>
    <n v="7"/>
    <n v="1462.46"/>
    <n v="10237.219999999999"/>
    <n v="3.8"/>
  </r>
  <r>
    <s v="ORD10553"/>
    <x v="126"/>
    <x v="3"/>
    <x v="1"/>
    <x v="4"/>
    <n v="7"/>
    <n v="1411.49"/>
    <n v="9880.43"/>
    <n v="4"/>
  </r>
  <r>
    <s v="ORD10554"/>
    <x v="112"/>
    <x v="3"/>
    <x v="2"/>
    <x v="6"/>
    <n v="7"/>
    <n v="556.88"/>
    <n v="3898.16"/>
    <n v="3.3"/>
  </r>
  <r>
    <s v="ORD10555"/>
    <x v="32"/>
    <x v="3"/>
    <x v="0"/>
    <x v="0"/>
    <n v="9"/>
    <n v="729.44"/>
    <n v="6564.96"/>
    <n v="4.0999999999999996"/>
  </r>
  <r>
    <s v="ORD10556"/>
    <x v="287"/>
    <x v="0"/>
    <x v="2"/>
    <x v="3"/>
    <n v="17"/>
    <n v="716.15"/>
    <n v="12174.55"/>
    <n v="3.5"/>
  </r>
  <r>
    <s v="ORD10557"/>
    <x v="288"/>
    <x v="2"/>
    <x v="2"/>
    <x v="6"/>
    <n v="4"/>
    <n v="1473.77"/>
    <n v="5895.08"/>
    <n v="3.9"/>
  </r>
  <r>
    <s v="ORD10558"/>
    <x v="176"/>
    <x v="3"/>
    <x v="2"/>
    <x v="3"/>
    <n v="19"/>
    <n v="1343.75"/>
    <n v="25531.25"/>
    <n v="4.8"/>
  </r>
  <r>
    <s v="ORD10559"/>
    <x v="19"/>
    <x v="3"/>
    <x v="0"/>
    <x v="8"/>
    <n v="22"/>
    <n v="1190.53"/>
    <n v="26191.66"/>
    <n v="4.7"/>
  </r>
  <r>
    <s v="ORD10560"/>
    <x v="271"/>
    <x v="3"/>
    <x v="0"/>
    <x v="0"/>
    <n v="13"/>
    <n v="1116.8499999999999"/>
    <n v="14519.05"/>
    <n v="3.4"/>
  </r>
  <r>
    <s v="ORD10561"/>
    <x v="59"/>
    <x v="0"/>
    <x v="1"/>
    <x v="5"/>
    <n v="9"/>
    <n v="653.75"/>
    <n v="5883.75"/>
    <n v="4"/>
  </r>
  <r>
    <s v="ORD10562"/>
    <x v="260"/>
    <x v="3"/>
    <x v="0"/>
    <x v="0"/>
    <n v="12"/>
    <n v="330.09"/>
    <n v="3961.08"/>
    <n v="4.0999999999999996"/>
  </r>
  <r>
    <s v="ORD10563"/>
    <x v="67"/>
    <x v="0"/>
    <x v="0"/>
    <x v="8"/>
    <n v="17"/>
    <n v="55.57"/>
    <n v="944.69"/>
    <n v="3.7"/>
  </r>
  <r>
    <s v="ORD10564"/>
    <x v="289"/>
    <x v="3"/>
    <x v="1"/>
    <x v="2"/>
    <n v="11"/>
    <n v="1098.33"/>
    <n v="12081.63"/>
    <n v="4.5999999999999996"/>
  </r>
  <r>
    <s v="ORD10565"/>
    <x v="181"/>
    <x v="1"/>
    <x v="1"/>
    <x v="2"/>
    <n v="24"/>
    <n v="246.75"/>
    <n v="5922"/>
    <n v="3.2"/>
  </r>
  <r>
    <s v="ORD10566"/>
    <x v="200"/>
    <x v="1"/>
    <x v="0"/>
    <x v="0"/>
    <n v="22"/>
    <n v="1473.1"/>
    <n v="32408.2"/>
    <n v="4.9000000000000004"/>
  </r>
  <r>
    <s v="ORD10567"/>
    <x v="130"/>
    <x v="2"/>
    <x v="0"/>
    <x v="1"/>
    <n v="21"/>
    <n v="143.69999999999999"/>
    <n v="3017.7"/>
    <n v="4.5999999999999996"/>
  </r>
  <r>
    <s v="ORD10568"/>
    <x v="80"/>
    <x v="1"/>
    <x v="0"/>
    <x v="0"/>
    <n v="20"/>
    <n v="1140.1500000000001"/>
    <n v="22803"/>
    <n v="3"/>
  </r>
  <r>
    <s v="ORD10569"/>
    <x v="70"/>
    <x v="0"/>
    <x v="1"/>
    <x v="5"/>
    <n v="4"/>
    <n v="1165.3"/>
    <n v="4661.2"/>
    <n v="3.1"/>
  </r>
  <r>
    <s v="ORD10570"/>
    <x v="115"/>
    <x v="0"/>
    <x v="0"/>
    <x v="0"/>
    <n v="21"/>
    <n v="671.95"/>
    <n v="14110.95"/>
    <n v="3.3"/>
  </r>
  <r>
    <s v="ORD10571"/>
    <x v="253"/>
    <x v="3"/>
    <x v="1"/>
    <x v="4"/>
    <n v="12"/>
    <n v="989.79"/>
    <n v="11877.48"/>
    <n v="3.9"/>
  </r>
  <r>
    <s v="ORD10572"/>
    <x v="290"/>
    <x v="2"/>
    <x v="2"/>
    <x v="6"/>
    <n v="22"/>
    <n v="219.04"/>
    <n v="4818.88"/>
    <n v="3.3"/>
  </r>
  <r>
    <s v="ORD10573"/>
    <x v="291"/>
    <x v="3"/>
    <x v="1"/>
    <x v="5"/>
    <n v="24"/>
    <n v="720.53"/>
    <n v="17292.72"/>
    <n v="4.2"/>
  </r>
  <r>
    <s v="ORD10574"/>
    <x v="172"/>
    <x v="2"/>
    <x v="0"/>
    <x v="8"/>
    <n v="15"/>
    <n v="275.97000000000003"/>
    <n v="4139.55"/>
    <n v="4.0999999999999996"/>
  </r>
  <r>
    <s v="ORD10575"/>
    <x v="243"/>
    <x v="0"/>
    <x v="1"/>
    <x v="5"/>
    <n v="23"/>
    <n v="273.22000000000003"/>
    <n v="6284.06"/>
    <n v="3.7"/>
  </r>
  <r>
    <s v="ORD10576"/>
    <x v="136"/>
    <x v="3"/>
    <x v="0"/>
    <x v="0"/>
    <n v="20"/>
    <n v="1045.83"/>
    <n v="20916.599999999999"/>
    <n v="3.9"/>
  </r>
  <r>
    <s v="ORD10577"/>
    <x v="228"/>
    <x v="3"/>
    <x v="2"/>
    <x v="7"/>
    <n v="11"/>
    <n v="438.12"/>
    <n v="4819.32"/>
    <n v="4.5"/>
  </r>
  <r>
    <s v="ORD10578"/>
    <x v="98"/>
    <x v="0"/>
    <x v="0"/>
    <x v="8"/>
    <n v="24"/>
    <n v="1498.26"/>
    <n v="35958.239999999998"/>
    <n v="5"/>
  </r>
  <r>
    <s v="ORD10579"/>
    <x v="41"/>
    <x v="2"/>
    <x v="1"/>
    <x v="5"/>
    <n v="24"/>
    <n v="67.12"/>
    <n v="1610.88"/>
    <n v="4.3"/>
  </r>
  <r>
    <s v="ORD10580"/>
    <x v="22"/>
    <x v="0"/>
    <x v="1"/>
    <x v="4"/>
    <n v="20"/>
    <n v="1280.6099999999999"/>
    <n v="25612.2"/>
    <n v="4.7"/>
  </r>
  <r>
    <s v="ORD10581"/>
    <x v="221"/>
    <x v="1"/>
    <x v="2"/>
    <x v="3"/>
    <n v="8"/>
    <n v="96.61"/>
    <n v="772.88"/>
    <n v="4"/>
  </r>
  <r>
    <s v="ORD10582"/>
    <x v="24"/>
    <x v="3"/>
    <x v="2"/>
    <x v="3"/>
    <n v="22"/>
    <n v="1297.27"/>
    <n v="28539.94"/>
    <n v="3.2"/>
  </r>
  <r>
    <s v="ORD10583"/>
    <x v="162"/>
    <x v="0"/>
    <x v="2"/>
    <x v="7"/>
    <n v="3"/>
    <n v="1236.78"/>
    <n v="3710.34"/>
    <n v="4.9000000000000004"/>
  </r>
  <r>
    <s v="ORD10584"/>
    <x v="122"/>
    <x v="1"/>
    <x v="1"/>
    <x v="4"/>
    <n v="25"/>
    <n v="956.25"/>
    <n v="23906.25"/>
    <n v="4.0999999999999996"/>
  </r>
  <r>
    <s v="ORD10585"/>
    <x v="292"/>
    <x v="2"/>
    <x v="2"/>
    <x v="6"/>
    <n v="17"/>
    <n v="381.58"/>
    <n v="6486.86"/>
    <n v="4.9000000000000004"/>
  </r>
  <r>
    <s v="ORD10586"/>
    <x v="105"/>
    <x v="0"/>
    <x v="0"/>
    <x v="0"/>
    <n v="12"/>
    <n v="1491.26"/>
    <n v="17895.12"/>
    <n v="4.5"/>
  </r>
  <r>
    <s v="ORD10587"/>
    <x v="263"/>
    <x v="1"/>
    <x v="1"/>
    <x v="4"/>
    <n v="18"/>
    <n v="404.63"/>
    <n v="7283.34"/>
    <n v="3.1"/>
  </r>
  <r>
    <s v="ORD10588"/>
    <x v="293"/>
    <x v="3"/>
    <x v="2"/>
    <x v="3"/>
    <n v="7"/>
    <n v="141.91"/>
    <n v="993.37"/>
    <n v="4.4000000000000004"/>
  </r>
  <r>
    <s v="ORD10589"/>
    <x v="164"/>
    <x v="3"/>
    <x v="1"/>
    <x v="2"/>
    <n v="22"/>
    <n v="24.27"/>
    <n v="533.94000000000005"/>
    <n v="3.4"/>
  </r>
  <r>
    <s v="ORD10590"/>
    <x v="253"/>
    <x v="2"/>
    <x v="2"/>
    <x v="6"/>
    <n v="23"/>
    <n v="1123.83"/>
    <n v="25848.09"/>
    <n v="4.5999999999999996"/>
  </r>
  <r>
    <s v="ORD10591"/>
    <x v="139"/>
    <x v="0"/>
    <x v="0"/>
    <x v="8"/>
    <n v="11"/>
    <n v="963.9"/>
    <n v="10602.9"/>
    <n v="4.7"/>
  </r>
  <r>
    <s v="ORD10592"/>
    <x v="294"/>
    <x v="2"/>
    <x v="1"/>
    <x v="2"/>
    <n v="15"/>
    <n v="223.04"/>
    <n v="3345.6"/>
    <n v="3.8"/>
  </r>
  <r>
    <s v="ORD10593"/>
    <x v="295"/>
    <x v="3"/>
    <x v="2"/>
    <x v="7"/>
    <n v="11"/>
    <n v="13.29"/>
    <n v="146.19"/>
    <n v="4.2"/>
  </r>
  <r>
    <s v="ORD10594"/>
    <x v="296"/>
    <x v="3"/>
    <x v="0"/>
    <x v="8"/>
    <n v="1"/>
    <n v="220.23"/>
    <n v="220.23"/>
    <n v="3.9"/>
  </r>
  <r>
    <s v="ORD10595"/>
    <x v="297"/>
    <x v="3"/>
    <x v="1"/>
    <x v="2"/>
    <n v="11"/>
    <n v="562.27"/>
    <n v="6184.97"/>
    <n v="4.0999999999999996"/>
  </r>
  <r>
    <s v="ORD10596"/>
    <x v="298"/>
    <x v="3"/>
    <x v="0"/>
    <x v="8"/>
    <n v="4"/>
    <n v="376.89"/>
    <n v="1507.56"/>
    <n v="3.7"/>
  </r>
  <r>
    <s v="ORD10597"/>
    <x v="126"/>
    <x v="2"/>
    <x v="0"/>
    <x v="0"/>
    <n v="20"/>
    <n v="1344.64"/>
    <n v="26892.799999999999"/>
    <n v="4.0999999999999996"/>
  </r>
  <r>
    <s v="ORD10598"/>
    <x v="39"/>
    <x v="1"/>
    <x v="0"/>
    <x v="8"/>
    <n v="6"/>
    <n v="673.48"/>
    <n v="4040.88"/>
    <n v="3.1"/>
  </r>
  <r>
    <s v="ORD10599"/>
    <x v="299"/>
    <x v="2"/>
    <x v="1"/>
    <x v="4"/>
    <n v="15"/>
    <n v="1323.62"/>
    <n v="19854.3"/>
    <n v="3.6"/>
  </r>
  <r>
    <s v="ORD10600"/>
    <x v="63"/>
    <x v="0"/>
    <x v="1"/>
    <x v="2"/>
    <n v="25"/>
    <n v="1144.21"/>
    <n v="28605.25"/>
    <n v="3.5"/>
  </r>
  <r>
    <s v="ORD10601"/>
    <x v="76"/>
    <x v="0"/>
    <x v="1"/>
    <x v="2"/>
    <n v="10"/>
    <n v="1045.42"/>
    <n v="10454.200000000001"/>
    <n v="3.9"/>
  </r>
  <r>
    <s v="ORD10602"/>
    <x v="300"/>
    <x v="0"/>
    <x v="1"/>
    <x v="2"/>
    <n v="11"/>
    <n v="1472.07"/>
    <n v="16192.77"/>
    <n v="4.5"/>
  </r>
  <r>
    <s v="ORD10603"/>
    <x v="208"/>
    <x v="2"/>
    <x v="2"/>
    <x v="7"/>
    <n v="2"/>
    <n v="106.75"/>
    <n v="213.5"/>
    <n v="4.8"/>
  </r>
  <r>
    <s v="ORD10604"/>
    <x v="187"/>
    <x v="2"/>
    <x v="2"/>
    <x v="6"/>
    <n v="10"/>
    <n v="1374.66"/>
    <n v="13746.6"/>
    <n v="4.4000000000000004"/>
  </r>
  <r>
    <s v="ORD10605"/>
    <x v="6"/>
    <x v="3"/>
    <x v="2"/>
    <x v="6"/>
    <n v="5"/>
    <n v="1168.0999999999999"/>
    <n v="5840.5"/>
    <n v="4.5"/>
  </r>
  <r>
    <s v="ORD10606"/>
    <x v="13"/>
    <x v="0"/>
    <x v="0"/>
    <x v="1"/>
    <n v="3"/>
    <n v="186.08"/>
    <n v="558.24"/>
    <n v="3.5"/>
  </r>
  <r>
    <s v="ORD10607"/>
    <x v="250"/>
    <x v="0"/>
    <x v="2"/>
    <x v="7"/>
    <n v="4"/>
    <n v="793.52"/>
    <n v="3174.08"/>
    <n v="4.2"/>
  </r>
  <r>
    <s v="ORD10608"/>
    <x v="301"/>
    <x v="1"/>
    <x v="0"/>
    <x v="8"/>
    <n v="24"/>
    <n v="940.09"/>
    <n v="22562.16"/>
    <n v="4.4000000000000004"/>
  </r>
  <r>
    <s v="ORD10609"/>
    <x v="155"/>
    <x v="2"/>
    <x v="1"/>
    <x v="4"/>
    <n v="14"/>
    <n v="77.709999999999994"/>
    <n v="1087.94"/>
    <n v="3.1"/>
  </r>
  <r>
    <s v="ORD10610"/>
    <x v="280"/>
    <x v="2"/>
    <x v="0"/>
    <x v="0"/>
    <n v="8"/>
    <n v="1134.04"/>
    <n v="9072.32"/>
    <n v="4.4000000000000004"/>
  </r>
  <r>
    <s v="ORD10611"/>
    <x v="55"/>
    <x v="1"/>
    <x v="1"/>
    <x v="4"/>
    <n v="13"/>
    <n v="1328.3"/>
    <n v="17267.900000000001"/>
    <n v="3.6"/>
  </r>
  <r>
    <s v="ORD10612"/>
    <x v="238"/>
    <x v="1"/>
    <x v="0"/>
    <x v="0"/>
    <n v="19"/>
    <n v="675.59"/>
    <n v="12836.21"/>
    <n v="4.3"/>
  </r>
  <r>
    <s v="ORD10613"/>
    <x v="108"/>
    <x v="0"/>
    <x v="1"/>
    <x v="4"/>
    <n v="19"/>
    <n v="1435.2"/>
    <n v="27268.799999999999"/>
    <n v="3.1"/>
  </r>
  <r>
    <s v="ORD10614"/>
    <x v="69"/>
    <x v="0"/>
    <x v="0"/>
    <x v="8"/>
    <n v="16"/>
    <n v="952.49"/>
    <n v="15239.84"/>
    <n v="3.4"/>
  </r>
  <r>
    <s v="ORD10615"/>
    <x v="302"/>
    <x v="1"/>
    <x v="0"/>
    <x v="0"/>
    <n v="16"/>
    <n v="1273.57"/>
    <n v="20377.12"/>
    <n v="4.2"/>
  </r>
  <r>
    <s v="ORD10616"/>
    <x v="303"/>
    <x v="0"/>
    <x v="0"/>
    <x v="8"/>
    <n v="22"/>
    <n v="119.72"/>
    <n v="2633.84"/>
    <n v="3.7"/>
  </r>
  <r>
    <s v="ORD10617"/>
    <x v="276"/>
    <x v="0"/>
    <x v="1"/>
    <x v="2"/>
    <n v="14"/>
    <n v="469.03"/>
    <n v="6566.42"/>
    <n v="4.4000000000000004"/>
  </r>
  <r>
    <s v="ORD10618"/>
    <x v="175"/>
    <x v="3"/>
    <x v="2"/>
    <x v="6"/>
    <n v="1"/>
    <n v="1185.46"/>
    <n v="1185.46"/>
    <n v="3.1"/>
  </r>
  <r>
    <s v="ORD10619"/>
    <x v="42"/>
    <x v="3"/>
    <x v="1"/>
    <x v="5"/>
    <n v="24"/>
    <n v="605.83000000000004"/>
    <n v="14539.92"/>
    <n v="3.3"/>
  </r>
  <r>
    <s v="ORD10620"/>
    <x v="38"/>
    <x v="1"/>
    <x v="1"/>
    <x v="5"/>
    <n v="7"/>
    <n v="85.43"/>
    <n v="598.01"/>
    <n v="4.0999999999999996"/>
  </r>
  <r>
    <s v="ORD10621"/>
    <x v="233"/>
    <x v="3"/>
    <x v="1"/>
    <x v="4"/>
    <n v="5"/>
    <n v="1103.8599999999999"/>
    <n v="5519.3"/>
    <n v="3.4"/>
  </r>
  <r>
    <s v="ORD10622"/>
    <x v="130"/>
    <x v="1"/>
    <x v="1"/>
    <x v="2"/>
    <n v="22"/>
    <n v="228.26"/>
    <n v="5021.72"/>
    <n v="3.9"/>
  </r>
  <r>
    <s v="ORD10623"/>
    <x v="235"/>
    <x v="0"/>
    <x v="2"/>
    <x v="6"/>
    <n v="24"/>
    <n v="813.12"/>
    <n v="19514.88"/>
    <n v="4.7"/>
  </r>
  <r>
    <s v="ORD10624"/>
    <x v="175"/>
    <x v="0"/>
    <x v="1"/>
    <x v="2"/>
    <n v="6"/>
    <n v="1135.95"/>
    <n v="6815.7"/>
    <n v="4.5"/>
  </r>
  <r>
    <s v="ORD10625"/>
    <x v="125"/>
    <x v="1"/>
    <x v="0"/>
    <x v="8"/>
    <n v="19"/>
    <n v="1400.98"/>
    <n v="26618.62"/>
    <n v="3.5"/>
  </r>
  <r>
    <s v="ORD10626"/>
    <x v="283"/>
    <x v="0"/>
    <x v="2"/>
    <x v="3"/>
    <n v="7"/>
    <n v="1185.54"/>
    <n v="8298.7800000000007"/>
    <n v="4.4000000000000004"/>
  </r>
  <r>
    <s v="ORD10627"/>
    <x v="34"/>
    <x v="0"/>
    <x v="0"/>
    <x v="8"/>
    <n v="11"/>
    <n v="286.64"/>
    <n v="3153.04"/>
    <n v="3.7"/>
  </r>
  <r>
    <s v="ORD10628"/>
    <x v="69"/>
    <x v="0"/>
    <x v="2"/>
    <x v="3"/>
    <n v="20"/>
    <n v="513.74"/>
    <n v="10274.799999999999"/>
    <n v="4.5"/>
  </r>
  <r>
    <s v="ORD10629"/>
    <x v="297"/>
    <x v="3"/>
    <x v="0"/>
    <x v="8"/>
    <n v="8"/>
    <n v="865.64"/>
    <n v="6925.12"/>
    <n v="4.9000000000000004"/>
  </r>
  <r>
    <s v="ORD10630"/>
    <x v="304"/>
    <x v="1"/>
    <x v="1"/>
    <x v="2"/>
    <n v="8"/>
    <n v="715.82"/>
    <n v="5726.56"/>
    <n v="3.5"/>
  </r>
  <r>
    <s v="ORD10631"/>
    <x v="114"/>
    <x v="0"/>
    <x v="0"/>
    <x v="0"/>
    <n v="16"/>
    <n v="1415.22"/>
    <n v="22643.52"/>
    <n v="3.1"/>
  </r>
  <r>
    <s v="ORD10632"/>
    <x v="146"/>
    <x v="1"/>
    <x v="2"/>
    <x v="7"/>
    <n v="16"/>
    <n v="751.5"/>
    <n v="12024"/>
    <n v="3.3"/>
  </r>
  <r>
    <s v="ORD10633"/>
    <x v="64"/>
    <x v="2"/>
    <x v="1"/>
    <x v="5"/>
    <n v="7"/>
    <n v="1381.08"/>
    <n v="9667.56"/>
    <n v="4.7"/>
  </r>
  <r>
    <s v="ORD10634"/>
    <x v="226"/>
    <x v="0"/>
    <x v="1"/>
    <x v="2"/>
    <n v="17"/>
    <n v="614.53"/>
    <n v="10447.01"/>
    <n v="4.8"/>
  </r>
  <r>
    <s v="ORD10635"/>
    <x v="305"/>
    <x v="0"/>
    <x v="2"/>
    <x v="7"/>
    <n v="2"/>
    <n v="11.76"/>
    <n v="23.52"/>
    <n v="3.6"/>
  </r>
  <r>
    <s v="ORD10636"/>
    <x v="306"/>
    <x v="2"/>
    <x v="1"/>
    <x v="2"/>
    <n v="11"/>
    <n v="1135.9000000000001"/>
    <n v="12494.9"/>
    <n v="3.4"/>
  </r>
  <r>
    <s v="ORD10637"/>
    <x v="298"/>
    <x v="3"/>
    <x v="2"/>
    <x v="6"/>
    <n v="19"/>
    <n v="1380.91"/>
    <n v="26237.29"/>
    <n v="4.7"/>
  </r>
  <r>
    <s v="ORD10638"/>
    <x v="102"/>
    <x v="1"/>
    <x v="1"/>
    <x v="2"/>
    <n v="17"/>
    <n v="1281.8599999999999"/>
    <n v="21791.62"/>
    <n v="4.7"/>
  </r>
  <r>
    <s v="ORD10639"/>
    <x v="307"/>
    <x v="2"/>
    <x v="1"/>
    <x v="4"/>
    <n v="24"/>
    <n v="1220.54"/>
    <n v="29292.959999999999"/>
    <n v="3.6"/>
  </r>
  <r>
    <s v="ORD10640"/>
    <x v="233"/>
    <x v="2"/>
    <x v="0"/>
    <x v="8"/>
    <n v="17"/>
    <n v="1381.39"/>
    <n v="23483.63"/>
    <n v="3.6"/>
  </r>
  <r>
    <s v="ORD10641"/>
    <x v="186"/>
    <x v="0"/>
    <x v="1"/>
    <x v="2"/>
    <n v="12"/>
    <n v="393.86"/>
    <n v="4726.32"/>
    <n v="4.3"/>
  </r>
  <r>
    <s v="ORD10642"/>
    <x v="308"/>
    <x v="3"/>
    <x v="0"/>
    <x v="8"/>
    <n v="12"/>
    <n v="1438.02"/>
    <n v="17256.240000000002"/>
    <n v="3.2"/>
  </r>
  <r>
    <s v="ORD10643"/>
    <x v="303"/>
    <x v="2"/>
    <x v="0"/>
    <x v="8"/>
    <n v="20"/>
    <n v="551.77"/>
    <n v="11035.4"/>
    <n v="4.7"/>
  </r>
  <r>
    <s v="ORD10644"/>
    <x v="238"/>
    <x v="0"/>
    <x v="2"/>
    <x v="7"/>
    <n v="11"/>
    <n v="458.22"/>
    <n v="5040.42"/>
    <n v="3.4"/>
  </r>
  <r>
    <s v="ORD10645"/>
    <x v="7"/>
    <x v="1"/>
    <x v="2"/>
    <x v="7"/>
    <n v="14"/>
    <n v="388.9"/>
    <n v="5444.6"/>
    <n v="4.0999999999999996"/>
  </r>
  <r>
    <s v="ORD10646"/>
    <x v="253"/>
    <x v="2"/>
    <x v="2"/>
    <x v="7"/>
    <n v="17"/>
    <n v="733.18"/>
    <n v="12464.06"/>
    <n v="4.9000000000000004"/>
  </r>
  <r>
    <s v="ORD10647"/>
    <x v="65"/>
    <x v="3"/>
    <x v="1"/>
    <x v="2"/>
    <n v="22"/>
    <n v="701.58"/>
    <n v="15434.76"/>
    <n v="4.5999999999999996"/>
  </r>
  <r>
    <s v="ORD10648"/>
    <x v="309"/>
    <x v="1"/>
    <x v="0"/>
    <x v="0"/>
    <n v="8"/>
    <n v="1161.49"/>
    <n v="9291.92"/>
    <n v="4.4000000000000004"/>
  </r>
  <r>
    <s v="ORD10649"/>
    <x v="77"/>
    <x v="0"/>
    <x v="0"/>
    <x v="0"/>
    <n v="4"/>
    <n v="1167.1400000000001"/>
    <n v="4668.5600000000004"/>
    <n v="3.9"/>
  </r>
  <r>
    <s v="ORD10650"/>
    <x v="184"/>
    <x v="2"/>
    <x v="0"/>
    <x v="0"/>
    <n v="9"/>
    <n v="680.57"/>
    <n v="6125.13"/>
    <n v="3.7"/>
  </r>
  <r>
    <s v="ORD10651"/>
    <x v="148"/>
    <x v="0"/>
    <x v="1"/>
    <x v="4"/>
    <n v="7"/>
    <n v="404.65"/>
    <n v="2832.55"/>
    <n v="3.4"/>
  </r>
  <r>
    <s v="ORD10652"/>
    <x v="241"/>
    <x v="2"/>
    <x v="1"/>
    <x v="2"/>
    <n v="8"/>
    <n v="362.23"/>
    <n v="2897.84"/>
    <n v="4.4000000000000004"/>
  </r>
  <r>
    <s v="ORD10653"/>
    <x v="97"/>
    <x v="0"/>
    <x v="2"/>
    <x v="3"/>
    <n v="22"/>
    <n v="283.17"/>
    <n v="6229.74"/>
    <n v="4"/>
  </r>
  <r>
    <s v="ORD10654"/>
    <x v="217"/>
    <x v="1"/>
    <x v="0"/>
    <x v="1"/>
    <n v="16"/>
    <n v="624.95000000000005"/>
    <n v="9999.2000000000007"/>
    <n v="4.0999999999999996"/>
  </r>
  <r>
    <s v="ORD10655"/>
    <x v="246"/>
    <x v="3"/>
    <x v="0"/>
    <x v="1"/>
    <n v="11"/>
    <n v="449.92"/>
    <n v="4949.12"/>
    <n v="4.2"/>
  </r>
  <r>
    <s v="ORD10656"/>
    <x v="226"/>
    <x v="2"/>
    <x v="1"/>
    <x v="2"/>
    <n v="18"/>
    <n v="569.16"/>
    <n v="10244.879999999999"/>
    <n v="3.3"/>
  </r>
  <r>
    <s v="ORD10657"/>
    <x v="96"/>
    <x v="0"/>
    <x v="2"/>
    <x v="3"/>
    <n v="19"/>
    <n v="111.11"/>
    <n v="2111.09"/>
    <n v="4.8"/>
  </r>
  <r>
    <s v="ORD10658"/>
    <x v="307"/>
    <x v="0"/>
    <x v="0"/>
    <x v="1"/>
    <n v="23"/>
    <n v="470.93"/>
    <n v="10831.39"/>
    <n v="4.2"/>
  </r>
  <r>
    <s v="ORD10659"/>
    <x v="206"/>
    <x v="3"/>
    <x v="1"/>
    <x v="2"/>
    <n v="10"/>
    <n v="864.88"/>
    <n v="8648.7999999999993"/>
    <n v="4.5"/>
  </r>
  <r>
    <s v="ORD10660"/>
    <x v="107"/>
    <x v="2"/>
    <x v="0"/>
    <x v="8"/>
    <n v="8"/>
    <n v="943.51"/>
    <n v="7548.08"/>
    <n v="4.5"/>
  </r>
  <r>
    <s v="ORD10661"/>
    <x v="310"/>
    <x v="0"/>
    <x v="0"/>
    <x v="0"/>
    <n v="23"/>
    <n v="853.64"/>
    <n v="19633.72"/>
    <n v="3.7"/>
  </r>
  <r>
    <s v="ORD10662"/>
    <x v="113"/>
    <x v="0"/>
    <x v="2"/>
    <x v="6"/>
    <n v="15"/>
    <n v="1430.69"/>
    <n v="21460.35"/>
    <n v="3.8"/>
  </r>
  <r>
    <s v="ORD10663"/>
    <x v="249"/>
    <x v="0"/>
    <x v="2"/>
    <x v="6"/>
    <n v="2"/>
    <n v="1072.69"/>
    <n v="2145.38"/>
    <n v="3"/>
  </r>
  <r>
    <s v="ORD10664"/>
    <x v="264"/>
    <x v="3"/>
    <x v="2"/>
    <x v="3"/>
    <n v="16"/>
    <n v="1400.06"/>
    <n v="22400.959999999999"/>
    <n v="4.7"/>
  </r>
  <r>
    <s v="ORD10665"/>
    <x v="311"/>
    <x v="3"/>
    <x v="0"/>
    <x v="1"/>
    <n v="16"/>
    <n v="677.26"/>
    <n v="10836.16"/>
    <n v="3.2"/>
  </r>
  <r>
    <s v="ORD10666"/>
    <x v="312"/>
    <x v="2"/>
    <x v="1"/>
    <x v="2"/>
    <n v="15"/>
    <n v="1231.9000000000001"/>
    <n v="18478.5"/>
    <n v="3.8"/>
  </r>
  <r>
    <s v="ORD10667"/>
    <x v="313"/>
    <x v="0"/>
    <x v="0"/>
    <x v="1"/>
    <n v="24"/>
    <n v="298.95"/>
    <n v="7174.8"/>
    <n v="4.4000000000000004"/>
  </r>
  <r>
    <s v="ORD10668"/>
    <x v="217"/>
    <x v="2"/>
    <x v="0"/>
    <x v="0"/>
    <n v="10"/>
    <n v="781.7"/>
    <n v="7817"/>
    <n v="4.7"/>
  </r>
  <r>
    <s v="ORD10669"/>
    <x v="66"/>
    <x v="2"/>
    <x v="0"/>
    <x v="0"/>
    <n v="3"/>
    <n v="951.08"/>
    <n v="2853.24"/>
    <n v="3.6"/>
  </r>
  <r>
    <s v="ORD10670"/>
    <x v="262"/>
    <x v="0"/>
    <x v="1"/>
    <x v="5"/>
    <n v="8"/>
    <n v="658.26"/>
    <n v="5266.08"/>
    <n v="3.7"/>
  </r>
  <r>
    <s v="ORD10671"/>
    <x v="45"/>
    <x v="2"/>
    <x v="2"/>
    <x v="3"/>
    <n v="7"/>
    <n v="444.92"/>
    <n v="3114.44"/>
    <n v="3.3"/>
  </r>
  <r>
    <s v="ORD10672"/>
    <x v="47"/>
    <x v="2"/>
    <x v="1"/>
    <x v="5"/>
    <n v="22"/>
    <n v="1035.42"/>
    <n v="22779.24"/>
    <n v="4.7"/>
  </r>
  <r>
    <s v="ORD10673"/>
    <x v="314"/>
    <x v="3"/>
    <x v="2"/>
    <x v="6"/>
    <n v="14"/>
    <n v="443.01"/>
    <n v="6202.14"/>
    <n v="4.7"/>
  </r>
  <r>
    <s v="ORD10674"/>
    <x v="146"/>
    <x v="3"/>
    <x v="1"/>
    <x v="5"/>
    <n v="5"/>
    <n v="1397.15"/>
    <n v="6985.75"/>
    <n v="4.5"/>
  </r>
  <r>
    <s v="ORD10675"/>
    <x v="164"/>
    <x v="1"/>
    <x v="1"/>
    <x v="5"/>
    <n v="9"/>
    <n v="810.29"/>
    <n v="7292.61"/>
    <n v="3.2"/>
  </r>
  <r>
    <s v="ORD10676"/>
    <x v="312"/>
    <x v="0"/>
    <x v="2"/>
    <x v="6"/>
    <n v="3"/>
    <n v="390.33"/>
    <n v="1170.99"/>
    <n v="3.9"/>
  </r>
  <r>
    <s v="ORD10677"/>
    <x v="133"/>
    <x v="2"/>
    <x v="2"/>
    <x v="6"/>
    <n v="11"/>
    <n v="16.82"/>
    <n v="185.02"/>
    <n v="3"/>
  </r>
  <r>
    <s v="ORD10678"/>
    <x v="289"/>
    <x v="0"/>
    <x v="2"/>
    <x v="3"/>
    <n v="14"/>
    <n v="165.43"/>
    <n v="2316.02"/>
    <n v="4.4000000000000004"/>
  </r>
  <r>
    <s v="ORD10679"/>
    <x v="231"/>
    <x v="0"/>
    <x v="2"/>
    <x v="6"/>
    <n v="17"/>
    <n v="35.69"/>
    <n v="606.73"/>
    <n v="4.9000000000000004"/>
  </r>
  <r>
    <s v="ORD10680"/>
    <x v="271"/>
    <x v="0"/>
    <x v="1"/>
    <x v="5"/>
    <n v="18"/>
    <n v="423.58"/>
    <n v="7624.44"/>
    <n v="3.7"/>
  </r>
  <r>
    <s v="ORD10681"/>
    <x v="315"/>
    <x v="1"/>
    <x v="2"/>
    <x v="7"/>
    <n v="22"/>
    <n v="1228.3399999999999"/>
    <n v="27023.48"/>
    <n v="4.7"/>
  </r>
  <r>
    <s v="ORD10682"/>
    <x v="313"/>
    <x v="0"/>
    <x v="2"/>
    <x v="6"/>
    <n v="15"/>
    <n v="101.48"/>
    <n v="1522.2"/>
    <n v="4.9000000000000004"/>
  </r>
  <r>
    <s v="ORD10683"/>
    <x v="30"/>
    <x v="1"/>
    <x v="0"/>
    <x v="0"/>
    <n v="6"/>
    <n v="105.27"/>
    <n v="631.62"/>
    <n v="4.5"/>
  </r>
  <r>
    <s v="ORD10684"/>
    <x v="178"/>
    <x v="0"/>
    <x v="2"/>
    <x v="6"/>
    <n v="24"/>
    <n v="381.77"/>
    <n v="9162.48"/>
    <n v="3.9"/>
  </r>
  <r>
    <s v="ORD10685"/>
    <x v="180"/>
    <x v="0"/>
    <x v="1"/>
    <x v="5"/>
    <n v="15"/>
    <n v="1060.3900000000001"/>
    <n v="15905.85"/>
    <n v="4.9000000000000004"/>
  </r>
  <r>
    <s v="ORD10686"/>
    <x v="77"/>
    <x v="3"/>
    <x v="2"/>
    <x v="7"/>
    <n v="15"/>
    <n v="355.47"/>
    <n v="5332.05"/>
    <n v="4.7"/>
  </r>
  <r>
    <s v="ORD10687"/>
    <x v="155"/>
    <x v="2"/>
    <x v="2"/>
    <x v="3"/>
    <n v="7"/>
    <n v="472.72"/>
    <n v="3309.04"/>
    <n v="4"/>
  </r>
  <r>
    <s v="ORD10688"/>
    <x v="41"/>
    <x v="3"/>
    <x v="1"/>
    <x v="5"/>
    <n v="14"/>
    <n v="264.04000000000002"/>
    <n v="3696.56"/>
    <n v="3.9"/>
  </r>
  <r>
    <s v="ORD10689"/>
    <x v="316"/>
    <x v="3"/>
    <x v="0"/>
    <x v="8"/>
    <n v="20"/>
    <n v="811.19"/>
    <n v="16223.8"/>
    <n v="4"/>
  </r>
  <r>
    <s v="ORD10690"/>
    <x v="224"/>
    <x v="0"/>
    <x v="0"/>
    <x v="8"/>
    <n v="2"/>
    <n v="880.38"/>
    <n v="1760.76"/>
    <n v="3.7"/>
  </r>
  <r>
    <s v="ORD10691"/>
    <x v="304"/>
    <x v="1"/>
    <x v="1"/>
    <x v="4"/>
    <n v="1"/>
    <n v="431.15"/>
    <n v="431.15"/>
    <n v="3.5"/>
  </r>
  <r>
    <s v="ORD10692"/>
    <x v="247"/>
    <x v="3"/>
    <x v="2"/>
    <x v="7"/>
    <n v="13"/>
    <n v="1372.65"/>
    <n v="17844.45"/>
    <n v="4.0999999999999996"/>
  </r>
  <r>
    <s v="ORD10693"/>
    <x v="130"/>
    <x v="0"/>
    <x v="2"/>
    <x v="3"/>
    <n v="3"/>
    <n v="1424.28"/>
    <n v="4272.84"/>
    <n v="4.3"/>
  </r>
  <r>
    <s v="ORD10694"/>
    <x v="293"/>
    <x v="1"/>
    <x v="2"/>
    <x v="3"/>
    <n v="15"/>
    <n v="1154.72"/>
    <n v="17320.8"/>
    <n v="4"/>
  </r>
  <r>
    <s v="ORD10695"/>
    <x v="119"/>
    <x v="2"/>
    <x v="0"/>
    <x v="0"/>
    <n v="16"/>
    <n v="750.63"/>
    <n v="12010.08"/>
    <n v="4.4000000000000004"/>
  </r>
  <r>
    <s v="ORD10696"/>
    <x v="241"/>
    <x v="2"/>
    <x v="2"/>
    <x v="6"/>
    <n v="13"/>
    <n v="1125.93"/>
    <n v="14637.09"/>
    <n v="4.5999999999999996"/>
  </r>
  <r>
    <s v="ORD10697"/>
    <x v="317"/>
    <x v="3"/>
    <x v="0"/>
    <x v="1"/>
    <n v="4"/>
    <n v="679.22"/>
    <n v="2716.88"/>
    <n v="4.3"/>
  </r>
  <r>
    <s v="ORD10698"/>
    <x v="106"/>
    <x v="2"/>
    <x v="0"/>
    <x v="1"/>
    <n v="25"/>
    <n v="376.21"/>
    <n v="9405.25"/>
    <n v="3.4"/>
  </r>
  <r>
    <s v="ORD10699"/>
    <x v="311"/>
    <x v="1"/>
    <x v="1"/>
    <x v="4"/>
    <n v="18"/>
    <n v="1447.16"/>
    <n v="26048.880000000001"/>
    <n v="3.6"/>
  </r>
  <r>
    <s v="ORD10700"/>
    <x v="287"/>
    <x v="3"/>
    <x v="2"/>
    <x v="7"/>
    <n v="15"/>
    <n v="75.16"/>
    <n v="1127.4000000000001"/>
    <n v="3.6"/>
  </r>
  <r>
    <s v="ORD10701"/>
    <x v="25"/>
    <x v="0"/>
    <x v="2"/>
    <x v="7"/>
    <n v="12"/>
    <n v="1499.94"/>
    <n v="17999.28"/>
    <n v="3.9"/>
  </r>
  <r>
    <s v="ORD10702"/>
    <x v="14"/>
    <x v="0"/>
    <x v="2"/>
    <x v="3"/>
    <n v="17"/>
    <n v="659.7"/>
    <n v="11214.9"/>
    <n v="3.7"/>
  </r>
  <r>
    <s v="ORD10703"/>
    <x v="30"/>
    <x v="0"/>
    <x v="0"/>
    <x v="8"/>
    <n v="25"/>
    <n v="524.58000000000004"/>
    <n v="13114.5"/>
    <n v="3.8"/>
  </r>
  <r>
    <s v="ORD10704"/>
    <x v="78"/>
    <x v="3"/>
    <x v="2"/>
    <x v="3"/>
    <n v="5"/>
    <n v="1193.28"/>
    <n v="5966.4"/>
    <n v="4.5"/>
  </r>
  <r>
    <s v="ORD10705"/>
    <x v="229"/>
    <x v="3"/>
    <x v="0"/>
    <x v="0"/>
    <n v="8"/>
    <n v="1352.35"/>
    <n v="10818.8"/>
    <n v="4.9000000000000004"/>
  </r>
  <r>
    <s v="ORD10706"/>
    <x v="240"/>
    <x v="0"/>
    <x v="2"/>
    <x v="6"/>
    <n v="13"/>
    <n v="618.69000000000005"/>
    <n v="8042.97"/>
    <n v="3.3"/>
  </r>
  <r>
    <s v="ORD10707"/>
    <x v="97"/>
    <x v="3"/>
    <x v="1"/>
    <x v="4"/>
    <n v="18"/>
    <n v="262.23"/>
    <n v="4720.1400000000003"/>
    <n v="3.1"/>
  </r>
  <r>
    <s v="ORD10708"/>
    <x v="172"/>
    <x v="3"/>
    <x v="0"/>
    <x v="1"/>
    <n v="15"/>
    <n v="740.57"/>
    <n v="11108.55"/>
    <n v="3"/>
  </r>
  <r>
    <s v="ORD10709"/>
    <x v="255"/>
    <x v="0"/>
    <x v="1"/>
    <x v="4"/>
    <n v="16"/>
    <n v="177.05"/>
    <n v="2832.8"/>
    <n v="3.3"/>
  </r>
  <r>
    <s v="ORD10710"/>
    <x v="94"/>
    <x v="3"/>
    <x v="2"/>
    <x v="6"/>
    <n v="4"/>
    <n v="382.03"/>
    <n v="1528.12"/>
    <n v="4.9000000000000004"/>
  </r>
  <r>
    <s v="ORD10711"/>
    <x v="89"/>
    <x v="0"/>
    <x v="0"/>
    <x v="1"/>
    <n v="8"/>
    <n v="791.79"/>
    <n v="6334.32"/>
    <n v="3.5"/>
  </r>
  <r>
    <s v="ORD10712"/>
    <x v="17"/>
    <x v="1"/>
    <x v="2"/>
    <x v="6"/>
    <n v="13"/>
    <n v="905.33"/>
    <n v="11769.29"/>
    <n v="3.5"/>
  </r>
  <r>
    <s v="ORD10713"/>
    <x v="294"/>
    <x v="0"/>
    <x v="2"/>
    <x v="6"/>
    <n v="14"/>
    <n v="952.48"/>
    <n v="13334.72"/>
    <n v="4"/>
  </r>
  <r>
    <s v="ORD10714"/>
    <x v="160"/>
    <x v="1"/>
    <x v="1"/>
    <x v="4"/>
    <n v="16"/>
    <n v="145.52000000000001"/>
    <n v="2328.3200000000002"/>
    <n v="4.9000000000000004"/>
  </r>
  <r>
    <s v="ORD10715"/>
    <x v="57"/>
    <x v="1"/>
    <x v="2"/>
    <x v="7"/>
    <n v="7"/>
    <n v="396.83"/>
    <n v="2777.81"/>
    <n v="3.8"/>
  </r>
  <r>
    <s v="ORD10716"/>
    <x v="239"/>
    <x v="0"/>
    <x v="0"/>
    <x v="8"/>
    <n v="4"/>
    <n v="425.62"/>
    <n v="1702.48"/>
    <n v="3.6"/>
  </r>
  <r>
    <s v="ORD10717"/>
    <x v="153"/>
    <x v="2"/>
    <x v="2"/>
    <x v="3"/>
    <n v="1"/>
    <n v="931.4"/>
    <n v="931.4"/>
    <n v="4"/>
  </r>
  <r>
    <s v="ORD10718"/>
    <x v="294"/>
    <x v="3"/>
    <x v="0"/>
    <x v="0"/>
    <n v="6"/>
    <n v="598.66999999999996"/>
    <n v="3592.02"/>
    <n v="4.8"/>
  </r>
  <r>
    <s v="ORD10719"/>
    <x v="29"/>
    <x v="0"/>
    <x v="1"/>
    <x v="4"/>
    <n v="8"/>
    <n v="378.98"/>
    <n v="3031.84"/>
    <n v="3.8"/>
  </r>
  <r>
    <s v="ORD10720"/>
    <x v="177"/>
    <x v="1"/>
    <x v="0"/>
    <x v="0"/>
    <n v="10"/>
    <n v="103.73"/>
    <n v="1037.3"/>
    <n v="3.2"/>
  </r>
  <r>
    <s v="ORD10721"/>
    <x v="248"/>
    <x v="3"/>
    <x v="2"/>
    <x v="6"/>
    <n v="1"/>
    <n v="1453.07"/>
    <n v="1453.07"/>
    <n v="4.5999999999999996"/>
  </r>
  <r>
    <s v="ORD10722"/>
    <x v="118"/>
    <x v="0"/>
    <x v="0"/>
    <x v="1"/>
    <n v="15"/>
    <n v="827.18"/>
    <n v="12407.7"/>
    <n v="3.1"/>
  </r>
  <r>
    <s v="ORD10723"/>
    <x v="24"/>
    <x v="1"/>
    <x v="0"/>
    <x v="8"/>
    <n v="16"/>
    <n v="1423.29"/>
    <n v="22772.639999999999"/>
    <n v="4.5999999999999996"/>
  </r>
  <r>
    <s v="ORD10724"/>
    <x v="286"/>
    <x v="0"/>
    <x v="1"/>
    <x v="2"/>
    <n v="11"/>
    <n v="341.82"/>
    <n v="3760.02"/>
    <n v="4.5"/>
  </r>
  <r>
    <s v="ORD10725"/>
    <x v="17"/>
    <x v="2"/>
    <x v="2"/>
    <x v="7"/>
    <n v="10"/>
    <n v="717.85"/>
    <n v="7178.5"/>
    <n v="4.5"/>
  </r>
  <r>
    <s v="ORD10726"/>
    <x v="123"/>
    <x v="1"/>
    <x v="2"/>
    <x v="6"/>
    <n v="18"/>
    <n v="1323.14"/>
    <n v="23816.52"/>
    <n v="4.5999999999999996"/>
  </r>
  <r>
    <s v="ORD10727"/>
    <x v="293"/>
    <x v="0"/>
    <x v="0"/>
    <x v="1"/>
    <n v="9"/>
    <n v="1495.34"/>
    <n v="13458.06"/>
    <n v="4.3"/>
  </r>
  <r>
    <s v="ORD10728"/>
    <x v="126"/>
    <x v="2"/>
    <x v="2"/>
    <x v="3"/>
    <n v="20"/>
    <n v="1326.2"/>
    <n v="26524"/>
    <n v="4"/>
  </r>
  <r>
    <s v="ORD10729"/>
    <x v="31"/>
    <x v="2"/>
    <x v="0"/>
    <x v="8"/>
    <n v="16"/>
    <n v="1080.73"/>
    <n v="17291.68"/>
    <n v="3.9"/>
  </r>
  <r>
    <s v="ORD10730"/>
    <x v="213"/>
    <x v="1"/>
    <x v="2"/>
    <x v="7"/>
    <n v="1"/>
    <n v="856.66"/>
    <n v="856.66"/>
    <n v="3.2"/>
  </r>
  <r>
    <s v="ORD10731"/>
    <x v="218"/>
    <x v="0"/>
    <x v="1"/>
    <x v="2"/>
    <n v="19"/>
    <n v="504.06"/>
    <n v="9577.14"/>
    <n v="4.8"/>
  </r>
  <r>
    <s v="ORD10732"/>
    <x v="296"/>
    <x v="3"/>
    <x v="1"/>
    <x v="4"/>
    <n v="17"/>
    <n v="808.87"/>
    <n v="13750.79"/>
    <n v="4.7"/>
  </r>
  <r>
    <s v="ORD10733"/>
    <x v="299"/>
    <x v="3"/>
    <x v="1"/>
    <x v="5"/>
    <n v="10"/>
    <n v="594.89"/>
    <n v="5948.9"/>
    <n v="3.7"/>
  </r>
  <r>
    <s v="ORD10734"/>
    <x v="160"/>
    <x v="0"/>
    <x v="2"/>
    <x v="7"/>
    <n v="16"/>
    <n v="400.29"/>
    <n v="6404.64"/>
    <n v="3.8"/>
  </r>
  <r>
    <s v="ORD10735"/>
    <x v="131"/>
    <x v="1"/>
    <x v="1"/>
    <x v="5"/>
    <n v="23"/>
    <n v="1469.68"/>
    <n v="33802.639999999999"/>
    <n v="3.3"/>
  </r>
  <r>
    <s v="ORD10736"/>
    <x v="258"/>
    <x v="0"/>
    <x v="2"/>
    <x v="7"/>
    <n v="12"/>
    <n v="797.11"/>
    <n v="9565.32"/>
    <n v="4.5999999999999996"/>
  </r>
  <r>
    <s v="ORD10737"/>
    <x v="13"/>
    <x v="3"/>
    <x v="0"/>
    <x v="8"/>
    <n v="10"/>
    <n v="946.22"/>
    <n v="9462.2000000000007"/>
    <n v="4.7"/>
  </r>
  <r>
    <s v="ORD10738"/>
    <x v="155"/>
    <x v="2"/>
    <x v="0"/>
    <x v="8"/>
    <n v="4"/>
    <n v="654.45000000000005"/>
    <n v="2617.8000000000002"/>
    <n v="5"/>
  </r>
  <r>
    <s v="ORD10739"/>
    <x v="318"/>
    <x v="2"/>
    <x v="0"/>
    <x v="0"/>
    <n v="10"/>
    <n v="573.39"/>
    <n v="5733.9"/>
    <n v="4.4000000000000004"/>
  </r>
  <r>
    <s v="ORD10740"/>
    <x v="300"/>
    <x v="1"/>
    <x v="0"/>
    <x v="1"/>
    <n v="10"/>
    <n v="258"/>
    <n v="2580"/>
    <n v="3.5"/>
  </r>
  <r>
    <s v="ORD10741"/>
    <x v="62"/>
    <x v="2"/>
    <x v="2"/>
    <x v="3"/>
    <n v="22"/>
    <n v="550"/>
    <n v="12100"/>
    <n v="3.8"/>
  </r>
  <r>
    <s v="ORD10742"/>
    <x v="136"/>
    <x v="0"/>
    <x v="0"/>
    <x v="8"/>
    <n v="18"/>
    <n v="1226.2"/>
    <n v="22071.599999999999"/>
    <n v="3.7"/>
  </r>
  <r>
    <s v="ORD10743"/>
    <x v="208"/>
    <x v="2"/>
    <x v="0"/>
    <x v="8"/>
    <n v="17"/>
    <n v="1445"/>
    <n v="24565"/>
    <n v="4"/>
  </r>
  <r>
    <s v="ORD10744"/>
    <x v="108"/>
    <x v="3"/>
    <x v="2"/>
    <x v="6"/>
    <n v="14"/>
    <n v="1000.59"/>
    <n v="14008.26"/>
    <n v="4.7"/>
  </r>
  <r>
    <s v="ORD10745"/>
    <x v="278"/>
    <x v="3"/>
    <x v="1"/>
    <x v="5"/>
    <n v="17"/>
    <n v="331.76"/>
    <n v="5639.92"/>
    <n v="4.7"/>
  </r>
  <r>
    <s v="ORD10746"/>
    <x v="94"/>
    <x v="3"/>
    <x v="1"/>
    <x v="5"/>
    <n v="16"/>
    <n v="35.03"/>
    <n v="560.48"/>
    <n v="4.0999999999999996"/>
  </r>
  <r>
    <s v="ORD10747"/>
    <x v="285"/>
    <x v="2"/>
    <x v="0"/>
    <x v="1"/>
    <n v="2"/>
    <n v="771.62"/>
    <n v="1543.24"/>
    <n v="4.4000000000000004"/>
  </r>
  <r>
    <s v="ORD10748"/>
    <x v="231"/>
    <x v="2"/>
    <x v="0"/>
    <x v="0"/>
    <n v="23"/>
    <n v="1021.09"/>
    <n v="23485.07"/>
    <n v="3.9"/>
  </r>
  <r>
    <s v="ORD10749"/>
    <x v="94"/>
    <x v="1"/>
    <x v="0"/>
    <x v="1"/>
    <n v="24"/>
    <n v="679.35"/>
    <n v="16304.4"/>
    <n v="4.5999999999999996"/>
  </r>
  <r>
    <s v="ORD10750"/>
    <x v="240"/>
    <x v="1"/>
    <x v="2"/>
    <x v="3"/>
    <n v="1"/>
    <n v="1400.81"/>
    <n v="1400.81"/>
    <n v="3.3"/>
  </r>
  <r>
    <s v="ORD10751"/>
    <x v="104"/>
    <x v="3"/>
    <x v="0"/>
    <x v="0"/>
    <n v="2"/>
    <n v="737.52"/>
    <n v="1475.04"/>
    <n v="3.5"/>
  </r>
  <r>
    <s v="ORD10752"/>
    <x v="80"/>
    <x v="3"/>
    <x v="0"/>
    <x v="8"/>
    <n v="8"/>
    <n v="1172.4100000000001"/>
    <n v="9379.2800000000007"/>
    <n v="3.2"/>
  </r>
  <r>
    <s v="ORD10753"/>
    <x v="47"/>
    <x v="3"/>
    <x v="1"/>
    <x v="2"/>
    <n v="12"/>
    <n v="1030.5899999999999"/>
    <n v="12367.08"/>
    <n v="4.0999999999999996"/>
  </r>
  <r>
    <s v="ORD10754"/>
    <x v="139"/>
    <x v="2"/>
    <x v="2"/>
    <x v="7"/>
    <n v="19"/>
    <n v="506.93"/>
    <n v="9631.67"/>
    <n v="3.2"/>
  </r>
  <r>
    <s v="ORD10755"/>
    <x v="247"/>
    <x v="1"/>
    <x v="1"/>
    <x v="2"/>
    <n v="21"/>
    <n v="706.67"/>
    <n v="14840.07"/>
    <n v="4.5"/>
  </r>
  <r>
    <s v="ORD10756"/>
    <x v="253"/>
    <x v="1"/>
    <x v="2"/>
    <x v="7"/>
    <n v="10"/>
    <n v="1429.67"/>
    <n v="14296.7"/>
    <n v="3"/>
  </r>
  <r>
    <s v="ORD10757"/>
    <x v="209"/>
    <x v="0"/>
    <x v="2"/>
    <x v="6"/>
    <n v="7"/>
    <n v="551.70000000000005"/>
    <n v="3861.9"/>
    <n v="4.3"/>
  </r>
  <r>
    <s v="ORD10758"/>
    <x v="24"/>
    <x v="3"/>
    <x v="2"/>
    <x v="7"/>
    <n v="24"/>
    <n v="345.75"/>
    <n v="8298"/>
    <n v="3.2"/>
  </r>
  <r>
    <s v="ORD10759"/>
    <x v="5"/>
    <x v="0"/>
    <x v="2"/>
    <x v="6"/>
    <n v="1"/>
    <n v="1337.9"/>
    <n v="1337.9"/>
    <n v="4.7"/>
  </r>
  <r>
    <s v="ORD10760"/>
    <x v="179"/>
    <x v="1"/>
    <x v="1"/>
    <x v="5"/>
    <n v="14"/>
    <n v="825.99"/>
    <n v="11563.86"/>
    <n v="4.0999999999999996"/>
  </r>
  <r>
    <s v="ORD10761"/>
    <x v="316"/>
    <x v="2"/>
    <x v="1"/>
    <x v="4"/>
    <n v="25"/>
    <n v="961.02"/>
    <n v="24025.5"/>
    <n v="4.5"/>
  </r>
  <r>
    <s v="ORD10762"/>
    <x v="108"/>
    <x v="0"/>
    <x v="0"/>
    <x v="1"/>
    <n v="12"/>
    <n v="1268.95"/>
    <n v="15227.4"/>
    <n v="4.8"/>
  </r>
  <r>
    <s v="ORD10763"/>
    <x v="184"/>
    <x v="2"/>
    <x v="1"/>
    <x v="4"/>
    <n v="23"/>
    <n v="1126.02"/>
    <n v="25898.46"/>
    <n v="4.7"/>
  </r>
  <r>
    <s v="ORD10764"/>
    <x v="18"/>
    <x v="2"/>
    <x v="2"/>
    <x v="6"/>
    <n v="14"/>
    <n v="1459.59"/>
    <n v="20434.259999999998"/>
    <n v="3.6"/>
  </r>
  <r>
    <s v="ORD10765"/>
    <x v="116"/>
    <x v="3"/>
    <x v="0"/>
    <x v="1"/>
    <n v="17"/>
    <n v="192.84"/>
    <n v="3278.28"/>
    <n v="4.9000000000000004"/>
  </r>
  <r>
    <s v="ORD10766"/>
    <x v="191"/>
    <x v="0"/>
    <x v="2"/>
    <x v="7"/>
    <n v="15"/>
    <n v="671.18"/>
    <n v="10067.700000000001"/>
    <n v="4"/>
  </r>
  <r>
    <s v="ORD10767"/>
    <x v="319"/>
    <x v="0"/>
    <x v="0"/>
    <x v="8"/>
    <n v="20"/>
    <n v="343.63"/>
    <n v="6872.6"/>
    <n v="3.3"/>
  </r>
  <r>
    <s v="ORD10768"/>
    <x v="144"/>
    <x v="0"/>
    <x v="0"/>
    <x v="0"/>
    <n v="16"/>
    <n v="1056.5899999999999"/>
    <n v="16905.439999999999"/>
    <n v="4.2"/>
  </r>
  <r>
    <s v="ORD10769"/>
    <x v="184"/>
    <x v="0"/>
    <x v="1"/>
    <x v="2"/>
    <n v="13"/>
    <n v="611.63"/>
    <n v="7951.19"/>
    <n v="3.8"/>
  </r>
  <r>
    <s v="ORD10770"/>
    <x v="77"/>
    <x v="0"/>
    <x v="0"/>
    <x v="0"/>
    <n v="25"/>
    <n v="1389.82"/>
    <n v="34745.5"/>
    <n v="4.0999999999999996"/>
  </r>
  <r>
    <s v="ORD10771"/>
    <x v="108"/>
    <x v="1"/>
    <x v="2"/>
    <x v="7"/>
    <n v="14"/>
    <n v="390.52"/>
    <n v="5467.28"/>
    <n v="4.4000000000000004"/>
  </r>
  <r>
    <s v="ORD10772"/>
    <x v="61"/>
    <x v="2"/>
    <x v="1"/>
    <x v="4"/>
    <n v="10"/>
    <n v="669.55"/>
    <n v="6695.5"/>
    <n v="3.2"/>
  </r>
  <r>
    <s v="ORD10773"/>
    <x v="290"/>
    <x v="3"/>
    <x v="2"/>
    <x v="7"/>
    <n v="18"/>
    <n v="109.24"/>
    <n v="1966.32"/>
    <n v="3.9"/>
  </r>
  <r>
    <s v="ORD10774"/>
    <x v="185"/>
    <x v="0"/>
    <x v="2"/>
    <x v="7"/>
    <n v="11"/>
    <n v="23.37"/>
    <n v="257.07"/>
    <n v="3.6"/>
  </r>
  <r>
    <s v="ORD10775"/>
    <x v="53"/>
    <x v="3"/>
    <x v="0"/>
    <x v="8"/>
    <n v="7"/>
    <n v="1402.19"/>
    <n v="9815.33"/>
    <n v="4.8"/>
  </r>
  <r>
    <s v="ORD10776"/>
    <x v="130"/>
    <x v="1"/>
    <x v="2"/>
    <x v="6"/>
    <n v="23"/>
    <n v="1098.0899999999999"/>
    <n v="25256.07"/>
    <n v="4.4000000000000004"/>
  </r>
  <r>
    <s v="ORD10777"/>
    <x v="160"/>
    <x v="1"/>
    <x v="0"/>
    <x v="8"/>
    <n v="5"/>
    <n v="1283"/>
    <n v="6415"/>
    <n v="4.7"/>
  </r>
  <r>
    <s v="ORD10778"/>
    <x v="171"/>
    <x v="3"/>
    <x v="0"/>
    <x v="1"/>
    <n v="15"/>
    <n v="276.14"/>
    <n v="4142.1000000000004"/>
    <n v="3.5"/>
  </r>
  <r>
    <s v="ORD10779"/>
    <x v="162"/>
    <x v="0"/>
    <x v="0"/>
    <x v="0"/>
    <n v="17"/>
    <n v="1417.51"/>
    <n v="24097.67"/>
    <n v="3.5"/>
  </r>
  <r>
    <s v="ORD10780"/>
    <x v="282"/>
    <x v="1"/>
    <x v="1"/>
    <x v="4"/>
    <n v="20"/>
    <n v="236.73"/>
    <n v="4734.6000000000004"/>
    <n v="4.9000000000000004"/>
  </r>
  <r>
    <s v="ORD10781"/>
    <x v="117"/>
    <x v="3"/>
    <x v="0"/>
    <x v="8"/>
    <n v="9"/>
    <n v="136.83000000000001"/>
    <n v="1231.47"/>
    <n v="3.4"/>
  </r>
  <r>
    <s v="ORD10782"/>
    <x v="249"/>
    <x v="3"/>
    <x v="0"/>
    <x v="8"/>
    <n v="1"/>
    <n v="420.88"/>
    <n v="420.88"/>
    <n v="4.5999999999999996"/>
  </r>
  <r>
    <s v="ORD10783"/>
    <x v="57"/>
    <x v="2"/>
    <x v="2"/>
    <x v="7"/>
    <n v="22"/>
    <n v="9.9499999999999993"/>
    <n v="218.9"/>
    <n v="3.5"/>
  </r>
  <r>
    <s v="ORD10784"/>
    <x v="289"/>
    <x v="2"/>
    <x v="1"/>
    <x v="4"/>
    <n v="25"/>
    <n v="36.799999999999997"/>
    <n v="920"/>
    <n v="4.2"/>
  </r>
  <r>
    <s v="ORD10785"/>
    <x v="55"/>
    <x v="3"/>
    <x v="0"/>
    <x v="1"/>
    <n v="16"/>
    <n v="264.14999999999998"/>
    <n v="4226.3999999999996"/>
    <n v="3.5"/>
  </r>
  <r>
    <s v="ORD10786"/>
    <x v="21"/>
    <x v="0"/>
    <x v="2"/>
    <x v="3"/>
    <n v="14"/>
    <n v="164.09"/>
    <n v="2297.2600000000002"/>
    <n v="4.8"/>
  </r>
  <r>
    <s v="ORD10787"/>
    <x v="127"/>
    <x v="3"/>
    <x v="1"/>
    <x v="5"/>
    <n v="25"/>
    <n v="1058.3900000000001"/>
    <n v="26459.75"/>
    <n v="4.5"/>
  </r>
  <r>
    <s v="ORD10788"/>
    <x v="138"/>
    <x v="0"/>
    <x v="1"/>
    <x v="5"/>
    <n v="14"/>
    <n v="1289.25"/>
    <n v="18049.5"/>
    <n v="4"/>
  </r>
  <r>
    <s v="ORD10789"/>
    <x v="73"/>
    <x v="0"/>
    <x v="2"/>
    <x v="7"/>
    <n v="15"/>
    <n v="990.62"/>
    <n v="14859.3"/>
    <n v="4.8"/>
  </r>
  <r>
    <s v="ORD10790"/>
    <x v="247"/>
    <x v="2"/>
    <x v="2"/>
    <x v="3"/>
    <n v="7"/>
    <n v="339.57"/>
    <n v="2376.9899999999998"/>
    <n v="3.5"/>
  </r>
  <r>
    <s v="ORD10791"/>
    <x v="250"/>
    <x v="3"/>
    <x v="2"/>
    <x v="3"/>
    <n v="24"/>
    <n v="328.91"/>
    <n v="7893.84"/>
    <n v="4.0999999999999996"/>
  </r>
  <r>
    <s v="ORD10792"/>
    <x v="98"/>
    <x v="0"/>
    <x v="0"/>
    <x v="8"/>
    <n v="23"/>
    <n v="283.49"/>
    <n v="6520.27"/>
    <n v="4.2"/>
  </r>
  <r>
    <s v="ORD10793"/>
    <x v="320"/>
    <x v="3"/>
    <x v="2"/>
    <x v="6"/>
    <n v="10"/>
    <n v="910.39"/>
    <n v="9103.9"/>
    <n v="4.3"/>
  </r>
  <r>
    <s v="ORD10794"/>
    <x v="218"/>
    <x v="2"/>
    <x v="2"/>
    <x v="3"/>
    <n v="18"/>
    <n v="1468.8"/>
    <n v="26438.400000000001"/>
    <n v="4.3"/>
  </r>
  <r>
    <s v="ORD10795"/>
    <x v="234"/>
    <x v="1"/>
    <x v="0"/>
    <x v="0"/>
    <n v="8"/>
    <n v="293.86"/>
    <n v="2350.88"/>
    <n v="5"/>
  </r>
  <r>
    <s v="ORD10796"/>
    <x v="27"/>
    <x v="0"/>
    <x v="2"/>
    <x v="7"/>
    <n v="23"/>
    <n v="712.26"/>
    <n v="16381.98"/>
    <n v="3.4"/>
  </r>
  <r>
    <s v="ORD10797"/>
    <x v="100"/>
    <x v="0"/>
    <x v="0"/>
    <x v="1"/>
    <n v="23"/>
    <n v="1041.6400000000001"/>
    <n v="23957.72"/>
    <n v="4"/>
  </r>
  <r>
    <s v="ORD10798"/>
    <x v="131"/>
    <x v="1"/>
    <x v="2"/>
    <x v="6"/>
    <n v="23"/>
    <n v="1212.73"/>
    <n v="27892.79"/>
    <n v="3.8"/>
  </r>
  <r>
    <s v="ORD10799"/>
    <x v="270"/>
    <x v="0"/>
    <x v="2"/>
    <x v="6"/>
    <n v="10"/>
    <n v="441.13"/>
    <n v="4411.3"/>
    <n v="3.2"/>
  </r>
  <r>
    <s v="ORD10800"/>
    <x v="195"/>
    <x v="2"/>
    <x v="2"/>
    <x v="7"/>
    <n v="23"/>
    <n v="258.88"/>
    <n v="5954.24"/>
    <n v="3.3"/>
  </r>
  <r>
    <s v="ORD10801"/>
    <x v="321"/>
    <x v="0"/>
    <x v="2"/>
    <x v="3"/>
    <n v="22"/>
    <n v="513.52"/>
    <n v="11297.44"/>
    <n v="4.8"/>
  </r>
  <r>
    <s v="ORD10802"/>
    <x v="36"/>
    <x v="1"/>
    <x v="2"/>
    <x v="3"/>
    <n v="10"/>
    <n v="1493.53"/>
    <n v="14935.3"/>
    <n v="4.5"/>
  </r>
  <r>
    <s v="ORD10803"/>
    <x v="61"/>
    <x v="2"/>
    <x v="2"/>
    <x v="3"/>
    <n v="6"/>
    <n v="296.26"/>
    <n v="1777.56"/>
    <n v="4.8"/>
  </r>
  <r>
    <s v="ORD10804"/>
    <x v="322"/>
    <x v="3"/>
    <x v="1"/>
    <x v="5"/>
    <n v="16"/>
    <n v="246.09"/>
    <n v="3937.44"/>
    <n v="4.7"/>
  </r>
  <r>
    <s v="ORD10805"/>
    <x v="213"/>
    <x v="2"/>
    <x v="2"/>
    <x v="7"/>
    <n v="16"/>
    <n v="522.69000000000005"/>
    <n v="8363.0400000000009"/>
    <n v="3.2"/>
  </r>
  <r>
    <s v="ORD10806"/>
    <x v="309"/>
    <x v="1"/>
    <x v="0"/>
    <x v="0"/>
    <n v="25"/>
    <n v="574.54"/>
    <n v="14363.5"/>
    <n v="4"/>
  </r>
  <r>
    <s v="ORD10807"/>
    <x v="323"/>
    <x v="3"/>
    <x v="0"/>
    <x v="8"/>
    <n v="14"/>
    <n v="373.39"/>
    <n v="5227.46"/>
    <n v="4.5"/>
  </r>
  <r>
    <s v="ORD10808"/>
    <x v="221"/>
    <x v="0"/>
    <x v="1"/>
    <x v="4"/>
    <n v="22"/>
    <n v="595.32000000000005"/>
    <n v="13097.04"/>
    <n v="3.1"/>
  </r>
  <r>
    <s v="ORD10809"/>
    <x v="230"/>
    <x v="2"/>
    <x v="1"/>
    <x v="5"/>
    <n v="4"/>
    <n v="1032.6500000000001"/>
    <n v="4130.6000000000004"/>
    <n v="4.9000000000000004"/>
  </r>
  <r>
    <s v="ORD10810"/>
    <x v="324"/>
    <x v="3"/>
    <x v="1"/>
    <x v="5"/>
    <n v="6"/>
    <n v="780.07"/>
    <n v="4680.42"/>
    <n v="3.8"/>
  </r>
  <r>
    <s v="ORD10811"/>
    <x v="227"/>
    <x v="2"/>
    <x v="0"/>
    <x v="0"/>
    <n v="2"/>
    <n v="1305.01"/>
    <n v="2610.02"/>
    <n v="4.9000000000000004"/>
  </r>
  <r>
    <s v="ORD10812"/>
    <x v="11"/>
    <x v="3"/>
    <x v="1"/>
    <x v="2"/>
    <n v="21"/>
    <n v="1479.64"/>
    <n v="31072.44"/>
    <n v="4.4000000000000004"/>
  </r>
  <r>
    <s v="ORD10813"/>
    <x v="29"/>
    <x v="1"/>
    <x v="2"/>
    <x v="6"/>
    <n v="13"/>
    <n v="857.51"/>
    <n v="11147.63"/>
    <n v="3.8"/>
  </r>
  <r>
    <s v="ORD10814"/>
    <x v="15"/>
    <x v="3"/>
    <x v="0"/>
    <x v="1"/>
    <n v="5"/>
    <n v="1293.48"/>
    <n v="6467.4"/>
    <n v="3.6"/>
  </r>
  <r>
    <s v="ORD10815"/>
    <x v="4"/>
    <x v="1"/>
    <x v="1"/>
    <x v="2"/>
    <n v="6"/>
    <n v="723.23"/>
    <n v="4339.38"/>
    <n v="4.4000000000000004"/>
  </r>
  <r>
    <s v="ORD10816"/>
    <x v="317"/>
    <x v="3"/>
    <x v="0"/>
    <x v="0"/>
    <n v="23"/>
    <n v="464.74"/>
    <n v="10689.02"/>
    <n v="3.8"/>
  </r>
  <r>
    <s v="ORD10817"/>
    <x v="233"/>
    <x v="2"/>
    <x v="0"/>
    <x v="1"/>
    <n v="9"/>
    <n v="1074.79"/>
    <n v="9673.11"/>
    <n v="5"/>
  </r>
  <r>
    <s v="ORD10818"/>
    <x v="130"/>
    <x v="2"/>
    <x v="1"/>
    <x v="4"/>
    <n v="8"/>
    <n v="1084.95"/>
    <n v="8679.6"/>
    <n v="4.2"/>
  </r>
  <r>
    <s v="ORD10819"/>
    <x v="182"/>
    <x v="0"/>
    <x v="2"/>
    <x v="3"/>
    <n v="1"/>
    <n v="1255.5"/>
    <n v="1255.5"/>
    <n v="3.9"/>
  </r>
  <r>
    <s v="ORD10820"/>
    <x v="8"/>
    <x v="3"/>
    <x v="0"/>
    <x v="1"/>
    <n v="5"/>
    <n v="182.82"/>
    <n v="914.1"/>
    <n v="4.3"/>
  </r>
  <r>
    <s v="ORD10821"/>
    <x v="273"/>
    <x v="1"/>
    <x v="0"/>
    <x v="8"/>
    <n v="1"/>
    <n v="279.27"/>
    <n v="279.27"/>
    <n v="4.7"/>
  </r>
  <r>
    <s v="ORD10822"/>
    <x v="305"/>
    <x v="3"/>
    <x v="0"/>
    <x v="1"/>
    <n v="12"/>
    <n v="765.62"/>
    <n v="9187.44"/>
    <n v="3"/>
  </r>
  <r>
    <s v="ORD10823"/>
    <x v="43"/>
    <x v="1"/>
    <x v="1"/>
    <x v="2"/>
    <n v="3"/>
    <n v="696.97"/>
    <n v="2090.91"/>
    <n v="3.5"/>
  </r>
  <r>
    <s v="ORD10824"/>
    <x v="148"/>
    <x v="1"/>
    <x v="0"/>
    <x v="0"/>
    <n v="20"/>
    <n v="565.23"/>
    <n v="11304.6"/>
    <n v="4.8"/>
  </r>
  <r>
    <s v="ORD10825"/>
    <x v="180"/>
    <x v="0"/>
    <x v="0"/>
    <x v="8"/>
    <n v="23"/>
    <n v="1019.33"/>
    <n v="23444.59"/>
    <n v="4.3"/>
  </r>
  <r>
    <s v="ORD10826"/>
    <x v="173"/>
    <x v="0"/>
    <x v="0"/>
    <x v="8"/>
    <n v="19"/>
    <n v="219.17"/>
    <n v="4164.2299999999996"/>
    <n v="4.3"/>
  </r>
  <r>
    <s v="ORD10827"/>
    <x v="75"/>
    <x v="1"/>
    <x v="0"/>
    <x v="1"/>
    <n v="6"/>
    <n v="1311.38"/>
    <n v="7868.28"/>
    <n v="3.7"/>
  </r>
  <r>
    <s v="ORD10828"/>
    <x v="193"/>
    <x v="0"/>
    <x v="1"/>
    <x v="4"/>
    <n v="22"/>
    <n v="1167.75"/>
    <n v="25690.5"/>
    <n v="4.4000000000000004"/>
  </r>
  <r>
    <s v="ORD10829"/>
    <x v="301"/>
    <x v="1"/>
    <x v="0"/>
    <x v="1"/>
    <n v="22"/>
    <n v="589.16999999999996"/>
    <n v="12961.74"/>
    <n v="4.4000000000000004"/>
  </r>
  <r>
    <s v="ORD10830"/>
    <x v="70"/>
    <x v="1"/>
    <x v="2"/>
    <x v="3"/>
    <n v="22"/>
    <n v="582.05999999999995"/>
    <n v="12805.32"/>
    <n v="3.2"/>
  </r>
  <r>
    <s v="ORD10831"/>
    <x v="125"/>
    <x v="3"/>
    <x v="2"/>
    <x v="6"/>
    <n v="8"/>
    <n v="373.14"/>
    <n v="2985.12"/>
    <n v="3.4"/>
  </r>
  <r>
    <s v="ORD10832"/>
    <x v="223"/>
    <x v="2"/>
    <x v="2"/>
    <x v="6"/>
    <n v="20"/>
    <n v="756.78"/>
    <n v="15135.6"/>
    <n v="3.3"/>
  </r>
  <r>
    <s v="ORD10833"/>
    <x v="232"/>
    <x v="2"/>
    <x v="1"/>
    <x v="5"/>
    <n v="6"/>
    <n v="31.17"/>
    <n v="187.02"/>
    <n v="4.5999999999999996"/>
  </r>
  <r>
    <s v="ORD10834"/>
    <x v="15"/>
    <x v="2"/>
    <x v="2"/>
    <x v="6"/>
    <n v="21"/>
    <n v="1479.41"/>
    <n v="31067.61"/>
    <n v="4.5999999999999996"/>
  </r>
  <r>
    <s v="ORD10835"/>
    <x v="172"/>
    <x v="0"/>
    <x v="2"/>
    <x v="3"/>
    <n v="23"/>
    <n v="1484.72"/>
    <n v="34148.559999999998"/>
    <n v="3.4"/>
  </r>
  <r>
    <s v="ORD10836"/>
    <x v="16"/>
    <x v="3"/>
    <x v="1"/>
    <x v="5"/>
    <n v="25"/>
    <n v="1222.3699999999999"/>
    <n v="30559.25"/>
    <n v="4.9000000000000004"/>
  </r>
  <r>
    <s v="ORD10837"/>
    <x v="225"/>
    <x v="2"/>
    <x v="2"/>
    <x v="3"/>
    <n v="9"/>
    <n v="779.37"/>
    <n v="7014.33"/>
    <n v="4.3"/>
  </r>
  <r>
    <s v="ORD10838"/>
    <x v="5"/>
    <x v="2"/>
    <x v="2"/>
    <x v="6"/>
    <n v="1"/>
    <n v="830.6"/>
    <n v="830.6"/>
    <n v="4.3"/>
  </r>
  <r>
    <s v="ORD10839"/>
    <x v="111"/>
    <x v="1"/>
    <x v="2"/>
    <x v="6"/>
    <n v="3"/>
    <n v="1043.3499999999999"/>
    <n v="3130.05"/>
    <n v="3.3"/>
  </r>
  <r>
    <s v="ORD10840"/>
    <x v="325"/>
    <x v="3"/>
    <x v="2"/>
    <x v="6"/>
    <n v="17"/>
    <n v="1343.73"/>
    <n v="22843.41"/>
    <n v="3.8"/>
  </r>
  <r>
    <s v="ORD10841"/>
    <x v="50"/>
    <x v="3"/>
    <x v="2"/>
    <x v="3"/>
    <n v="22"/>
    <n v="171.08"/>
    <n v="3763.76"/>
    <n v="4.4000000000000004"/>
  </r>
  <r>
    <s v="ORD10842"/>
    <x v="143"/>
    <x v="2"/>
    <x v="2"/>
    <x v="6"/>
    <n v="11"/>
    <n v="759.37"/>
    <n v="8353.07"/>
    <n v="3.8"/>
  </r>
  <r>
    <s v="ORD10843"/>
    <x v="61"/>
    <x v="0"/>
    <x v="2"/>
    <x v="6"/>
    <n v="16"/>
    <n v="358.93"/>
    <n v="5742.88"/>
    <n v="3.1"/>
  </r>
  <r>
    <s v="ORD10844"/>
    <x v="271"/>
    <x v="2"/>
    <x v="1"/>
    <x v="2"/>
    <n v="1"/>
    <n v="27.85"/>
    <n v="27.85"/>
    <n v="4.9000000000000004"/>
  </r>
  <r>
    <s v="ORD10845"/>
    <x v="321"/>
    <x v="3"/>
    <x v="2"/>
    <x v="7"/>
    <n v="25"/>
    <n v="700.45"/>
    <n v="17511.25"/>
    <n v="3.1"/>
  </r>
  <r>
    <s v="ORD10846"/>
    <x v="25"/>
    <x v="0"/>
    <x v="2"/>
    <x v="6"/>
    <n v="9"/>
    <n v="1211.7"/>
    <n v="10905.3"/>
    <n v="4.2"/>
  </r>
  <r>
    <s v="ORD10847"/>
    <x v="253"/>
    <x v="1"/>
    <x v="1"/>
    <x v="4"/>
    <n v="7"/>
    <n v="513.01"/>
    <n v="3591.07"/>
    <n v="3.8"/>
  </r>
  <r>
    <s v="ORD10848"/>
    <x v="98"/>
    <x v="2"/>
    <x v="1"/>
    <x v="2"/>
    <n v="17"/>
    <n v="970.51"/>
    <n v="16498.669999999998"/>
    <n v="4.2"/>
  </r>
  <r>
    <s v="ORD10849"/>
    <x v="105"/>
    <x v="1"/>
    <x v="1"/>
    <x v="4"/>
    <n v="19"/>
    <n v="199.95"/>
    <n v="3799.05"/>
    <n v="3.1"/>
  </r>
  <r>
    <s v="ORD10850"/>
    <x v="136"/>
    <x v="3"/>
    <x v="0"/>
    <x v="8"/>
    <n v="3"/>
    <n v="701.91"/>
    <n v="2105.73"/>
    <n v="4.5999999999999996"/>
  </r>
  <r>
    <s v="ORD10851"/>
    <x v="106"/>
    <x v="2"/>
    <x v="2"/>
    <x v="3"/>
    <n v="20"/>
    <n v="1274.69"/>
    <n v="25493.8"/>
    <n v="5"/>
  </r>
  <r>
    <s v="ORD10852"/>
    <x v="143"/>
    <x v="0"/>
    <x v="1"/>
    <x v="4"/>
    <n v="24"/>
    <n v="581.91999999999996"/>
    <n v="13966.08"/>
    <n v="3.9"/>
  </r>
  <r>
    <s v="ORD10853"/>
    <x v="80"/>
    <x v="1"/>
    <x v="1"/>
    <x v="5"/>
    <n v="23"/>
    <n v="462.55"/>
    <n v="10638.65"/>
    <n v="3.4"/>
  </r>
  <r>
    <s v="ORD10854"/>
    <x v="326"/>
    <x v="0"/>
    <x v="2"/>
    <x v="7"/>
    <n v="10"/>
    <n v="543.51"/>
    <n v="5435.1"/>
    <n v="4.2"/>
  </r>
  <r>
    <s v="ORD10855"/>
    <x v="236"/>
    <x v="3"/>
    <x v="1"/>
    <x v="2"/>
    <n v="10"/>
    <n v="916.13"/>
    <n v="9161.2999999999993"/>
    <n v="4.2"/>
  </r>
  <r>
    <s v="ORD10856"/>
    <x v="179"/>
    <x v="2"/>
    <x v="0"/>
    <x v="1"/>
    <n v="23"/>
    <n v="1353.98"/>
    <n v="31141.54"/>
    <n v="3.6"/>
  </r>
  <r>
    <s v="ORD10857"/>
    <x v="292"/>
    <x v="1"/>
    <x v="0"/>
    <x v="8"/>
    <n v="5"/>
    <n v="98.25"/>
    <n v="491.25"/>
    <n v="4.0999999999999996"/>
  </r>
  <r>
    <s v="ORD10858"/>
    <x v="226"/>
    <x v="2"/>
    <x v="2"/>
    <x v="3"/>
    <n v="2"/>
    <n v="48.38"/>
    <n v="96.76"/>
    <n v="4.2"/>
  </r>
  <r>
    <s v="ORD10859"/>
    <x v="179"/>
    <x v="3"/>
    <x v="0"/>
    <x v="1"/>
    <n v="12"/>
    <n v="788.01"/>
    <n v="9456.1200000000008"/>
    <n v="3.3"/>
  </r>
  <r>
    <s v="ORD10860"/>
    <x v="296"/>
    <x v="2"/>
    <x v="2"/>
    <x v="6"/>
    <n v="21"/>
    <n v="960.96"/>
    <n v="20180.16"/>
    <n v="4.3"/>
  </r>
  <r>
    <s v="ORD10861"/>
    <x v="139"/>
    <x v="2"/>
    <x v="2"/>
    <x v="3"/>
    <n v="3"/>
    <n v="1167.74"/>
    <n v="3503.22"/>
    <n v="4.7"/>
  </r>
  <r>
    <s v="ORD10862"/>
    <x v="24"/>
    <x v="2"/>
    <x v="2"/>
    <x v="6"/>
    <n v="24"/>
    <n v="1049.6099999999999"/>
    <n v="25190.639999999999"/>
    <n v="3.6"/>
  </r>
  <r>
    <s v="ORD10863"/>
    <x v="253"/>
    <x v="0"/>
    <x v="1"/>
    <x v="2"/>
    <n v="15"/>
    <n v="885.46"/>
    <n v="13281.9"/>
    <n v="4.0999999999999996"/>
  </r>
  <r>
    <s v="ORD10864"/>
    <x v="188"/>
    <x v="0"/>
    <x v="2"/>
    <x v="3"/>
    <n v="6"/>
    <n v="352.54"/>
    <n v="2115.2399999999998"/>
    <n v="3.7"/>
  </r>
  <r>
    <s v="ORD10865"/>
    <x v="175"/>
    <x v="3"/>
    <x v="1"/>
    <x v="2"/>
    <n v="7"/>
    <n v="80.239999999999995"/>
    <n v="561.67999999999995"/>
    <n v="4.8"/>
  </r>
  <r>
    <s v="ORD10866"/>
    <x v="95"/>
    <x v="3"/>
    <x v="2"/>
    <x v="7"/>
    <n v="18"/>
    <n v="716"/>
    <n v="12888"/>
    <n v="4.5999999999999996"/>
  </r>
  <r>
    <s v="ORD10867"/>
    <x v="32"/>
    <x v="0"/>
    <x v="0"/>
    <x v="8"/>
    <n v="18"/>
    <n v="1110.5999999999999"/>
    <n v="19990.8"/>
    <n v="3.1"/>
  </r>
  <r>
    <s v="ORD10868"/>
    <x v="58"/>
    <x v="3"/>
    <x v="2"/>
    <x v="6"/>
    <n v="12"/>
    <n v="494.75"/>
    <n v="5937"/>
    <n v="3.7"/>
  </r>
  <r>
    <s v="ORD10869"/>
    <x v="181"/>
    <x v="2"/>
    <x v="2"/>
    <x v="3"/>
    <n v="17"/>
    <n v="720.23"/>
    <n v="12243.91"/>
    <n v="4.4000000000000004"/>
  </r>
  <r>
    <s v="ORD10870"/>
    <x v="38"/>
    <x v="0"/>
    <x v="2"/>
    <x v="3"/>
    <n v="11"/>
    <n v="936.61"/>
    <n v="10302.709999999999"/>
    <n v="3.4"/>
  </r>
  <r>
    <s v="ORD10871"/>
    <x v="237"/>
    <x v="2"/>
    <x v="1"/>
    <x v="2"/>
    <n v="10"/>
    <n v="1267.6500000000001"/>
    <n v="12676.5"/>
    <n v="3.1"/>
  </r>
  <r>
    <s v="ORD10872"/>
    <x v="62"/>
    <x v="3"/>
    <x v="0"/>
    <x v="1"/>
    <n v="16"/>
    <n v="109.03"/>
    <n v="1744.48"/>
    <n v="4.5"/>
  </r>
  <r>
    <s v="ORD10873"/>
    <x v="327"/>
    <x v="0"/>
    <x v="0"/>
    <x v="1"/>
    <n v="9"/>
    <n v="901.94"/>
    <n v="8117.46"/>
    <n v="5"/>
  </r>
  <r>
    <s v="ORD10874"/>
    <x v="254"/>
    <x v="0"/>
    <x v="2"/>
    <x v="6"/>
    <n v="19"/>
    <n v="569.39"/>
    <n v="10818.41"/>
    <n v="4.2"/>
  </r>
  <r>
    <s v="ORD10875"/>
    <x v="205"/>
    <x v="0"/>
    <x v="2"/>
    <x v="7"/>
    <n v="1"/>
    <n v="1087.23"/>
    <n v="1087.23"/>
    <n v="3.4"/>
  </r>
  <r>
    <s v="ORD10876"/>
    <x v="173"/>
    <x v="3"/>
    <x v="1"/>
    <x v="2"/>
    <n v="10"/>
    <n v="302"/>
    <n v="3020"/>
    <n v="3.3"/>
  </r>
  <r>
    <s v="ORD10877"/>
    <x v="206"/>
    <x v="3"/>
    <x v="2"/>
    <x v="3"/>
    <n v="14"/>
    <n v="1188.44"/>
    <n v="16638.16"/>
    <n v="3"/>
  </r>
  <r>
    <s v="ORD10878"/>
    <x v="287"/>
    <x v="3"/>
    <x v="2"/>
    <x v="7"/>
    <n v="8"/>
    <n v="78.87"/>
    <n v="630.96"/>
    <n v="3.9"/>
  </r>
  <r>
    <s v="ORD10879"/>
    <x v="157"/>
    <x v="0"/>
    <x v="2"/>
    <x v="3"/>
    <n v="8"/>
    <n v="343.48"/>
    <n v="2747.84"/>
    <n v="4.3"/>
  </r>
  <r>
    <s v="ORD10880"/>
    <x v="151"/>
    <x v="0"/>
    <x v="2"/>
    <x v="6"/>
    <n v="23"/>
    <n v="626.53"/>
    <n v="14410.19"/>
    <n v="3.3"/>
  </r>
  <r>
    <s v="ORD10881"/>
    <x v="145"/>
    <x v="0"/>
    <x v="1"/>
    <x v="2"/>
    <n v="7"/>
    <n v="994.3"/>
    <n v="6960.1"/>
    <n v="3.9"/>
  </r>
  <r>
    <s v="ORD10882"/>
    <x v="124"/>
    <x v="2"/>
    <x v="2"/>
    <x v="7"/>
    <n v="24"/>
    <n v="939.19"/>
    <n v="22540.560000000001"/>
    <n v="4.5999999999999996"/>
  </r>
  <r>
    <s v="ORD10883"/>
    <x v="197"/>
    <x v="3"/>
    <x v="0"/>
    <x v="8"/>
    <n v="20"/>
    <n v="958.32"/>
    <n v="19166.400000000001"/>
    <n v="3.3"/>
  </r>
  <r>
    <s v="ORD10884"/>
    <x v="13"/>
    <x v="0"/>
    <x v="0"/>
    <x v="0"/>
    <n v="22"/>
    <n v="295.37"/>
    <n v="6498.14"/>
    <n v="4.5"/>
  </r>
  <r>
    <s v="ORD10885"/>
    <x v="23"/>
    <x v="3"/>
    <x v="0"/>
    <x v="1"/>
    <n v="24"/>
    <n v="548.67999999999995"/>
    <n v="13168.32"/>
    <n v="3.8"/>
  </r>
  <r>
    <s v="ORD10886"/>
    <x v="87"/>
    <x v="0"/>
    <x v="0"/>
    <x v="8"/>
    <n v="2"/>
    <n v="712.44"/>
    <n v="1424.88"/>
    <n v="5"/>
  </r>
  <r>
    <s v="ORD10887"/>
    <x v="155"/>
    <x v="0"/>
    <x v="1"/>
    <x v="4"/>
    <n v="14"/>
    <n v="1366.81"/>
    <n v="19135.34"/>
    <n v="3"/>
  </r>
  <r>
    <s v="ORD10888"/>
    <x v="44"/>
    <x v="1"/>
    <x v="2"/>
    <x v="3"/>
    <n v="3"/>
    <n v="404.03"/>
    <n v="1212.0899999999999"/>
    <n v="3.9"/>
  </r>
  <r>
    <s v="ORD10889"/>
    <x v="37"/>
    <x v="1"/>
    <x v="1"/>
    <x v="2"/>
    <n v="3"/>
    <n v="1131.5"/>
    <n v="3394.5"/>
    <n v="4.8"/>
  </r>
  <r>
    <s v="ORD10890"/>
    <x v="109"/>
    <x v="2"/>
    <x v="2"/>
    <x v="3"/>
    <n v="9"/>
    <n v="714.07"/>
    <n v="6426.63"/>
    <n v="4.3"/>
  </r>
  <r>
    <s v="ORD10891"/>
    <x v="21"/>
    <x v="0"/>
    <x v="1"/>
    <x v="5"/>
    <n v="14"/>
    <n v="1378.66"/>
    <n v="19301.240000000002"/>
    <n v="4"/>
  </r>
  <r>
    <s v="ORD10892"/>
    <x v="261"/>
    <x v="0"/>
    <x v="2"/>
    <x v="6"/>
    <n v="25"/>
    <n v="1231.8699999999999"/>
    <n v="30796.75"/>
    <n v="4.3"/>
  </r>
  <r>
    <s v="ORD10893"/>
    <x v="44"/>
    <x v="0"/>
    <x v="1"/>
    <x v="4"/>
    <n v="25"/>
    <n v="147.13999999999999"/>
    <n v="3678.5"/>
    <n v="4.9000000000000004"/>
  </r>
  <r>
    <s v="ORD10894"/>
    <x v="317"/>
    <x v="0"/>
    <x v="0"/>
    <x v="1"/>
    <n v="1"/>
    <n v="69.87"/>
    <n v="69.87"/>
    <n v="3.6"/>
  </r>
  <r>
    <s v="ORD10895"/>
    <x v="180"/>
    <x v="0"/>
    <x v="2"/>
    <x v="3"/>
    <n v="4"/>
    <n v="108.99"/>
    <n v="435.96"/>
    <n v="3.8"/>
  </r>
  <r>
    <s v="ORD10896"/>
    <x v="234"/>
    <x v="3"/>
    <x v="0"/>
    <x v="8"/>
    <n v="13"/>
    <n v="708.53"/>
    <n v="9210.89"/>
    <n v="4.4000000000000004"/>
  </r>
  <r>
    <s v="ORD10897"/>
    <x v="218"/>
    <x v="1"/>
    <x v="2"/>
    <x v="3"/>
    <n v="3"/>
    <n v="599.82000000000005"/>
    <n v="1799.46"/>
    <n v="3.7"/>
  </r>
  <r>
    <s v="ORD10898"/>
    <x v="26"/>
    <x v="0"/>
    <x v="0"/>
    <x v="1"/>
    <n v="21"/>
    <n v="836.48"/>
    <n v="17566.080000000002"/>
    <n v="4.4000000000000004"/>
  </r>
  <r>
    <s v="ORD10899"/>
    <x v="33"/>
    <x v="1"/>
    <x v="0"/>
    <x v="8"/>
    <n v="24"/>
    <n v="369"/>
    <n v="8856"/>
    <n v="3.7"/>
  </r>
  <r>
    <s v="ORD10900"/>
    <x v="278"/>
    <x v="1"/>
    <x v="1"/>
    <x v="2"/>
    <n v="13"/>
    <n v="119.97"/>
    <n v="1559.61"/>
    <n v="4.4000000000000004"/>
  </r>
  <r>
    <s v="ORD10901"/>
    <x v="96"/>
    <x v="0"/>
    <x v="2"/>
    <x v="3"/>
    <n v="20"/>
    <n v="400.67"/>
    <n v="8013.4"/>
    <n v="3.2"/>
  </r>
  <r>
    <s v="ORD10902"/>
    <x v="143"/>
    <x v="3"/>
    <x v="2"/>
    <x v="7"/>
    <n v="14"/>
    <n v="340.6"/>
    <n v="4768.3999999999996"/>
    <n v="3.7"/>
  </r>
  <r>
    <s v="ORD10903"/>
    <x v="102"/>
    <x v="1"/>
    <x v="2"/>
    <x v="3"/>
    <n v="13"/>
    <n v="1016.24"/>
    <n v="13211.12"/>
    <n v="3.8"/>
  </r>
  <r>
    <s v="ORD10904"/>
    <x v="4"/>
    <x v="2"/>
    <x v="1"/>
    <x v="4"/>
    <n v="10"/>
    <n v="683.34"/>
    <n v="6833.4"/>
    <n v="3.9"/>
  </r>
  <r>
    <s v="ORD10905"/>
    <x v="256"/>
    <x v="0"/>
    <x v="1"/>
    <x v="2"/>
    <n v="13"/>
    <n v="246.58"/>
    <n v="3205.54"/>
    <n v="4.5"/>
  </r>
  <r>
    <s v="ORD10906"/>
    <x v="110"/>
    <x v="3"/>
    <x v="0"/>
    <x v="1"/>
    <n v="21"/>
    <n v="638.75"/>
    <n v="13413.75"/>
    <n v="4.5999999999999996"/>
  </r>
  <r>
    <s v="ORD10907"/>
    <x v="191"/>
    <x v="0"/>
    <x v="0"/>
    <x v="8"/>
    <n v="19"/>
    <n v="285.44"/>
    <n v="5423.36"/>
    <n v="3.7"/>
  </r>
  <r>
    <s v="ORD10908"/>
    <x v="95"/>
    <x v="3"/>
    <x v="1"/>
    <x v="2"/>
    <n v="9"/>
    <n v="958.71"/>
    <n v="8628.39"/>
    <n v="4.9000000000000004"/>
  </r>
  <r>
    <s v="ORD10909"/>
    <x v="172"/>
    <x v="3"/>
    <x v="0"/>
    <x v="0"/>
    <n v="5"/>
    <n v="698.45"/>
    <n v="3492.25"/>
    <n v="4.4000000000000004"/>
  </r>
  <r>
    <s v="ORD10910"/>
    <x v="12"/>
    <x v="1"/>
    <x v="1"/>
    <x v="5"/>
    <n v="11"/>
    <n v="825.34"/>
    <n v="9078.74"/>
    <n v="3.2"/>
  </r>
  <r>
    <s v="ORD10911"/>
    <x v="328"/>
    <x v="3"/>
    <x v="1"/>
    <x v="5"/>
    <n v="21"/>
    <n v="8.43"/>
    <n v="177.03"/>
    <n v="4.8"/>
  </r>
  <r>
    <s v="ORD10912"/>
    <x v="329"/>
    <x v="0"/>
    <x v="2"/>
    <x v="6"/>
    <n v="18"/>
    <n v="835.32"/>
    <n v="15035.76"/>
    <n v="4.2"/>
  </r>
  <r>
    <s v="ORD10913"/>
    <x v="109"/>
    <x v="0"/>
    <x v="2"/>
    <x v="6"/>
    <n v="6"/>
    <n v="941.65"/>
    <n v="5649.9"/>
    <n v="3.8"/>
  </r>
  <r>
    <s v="ORD10914"/>
    <x v="212"/>
    <x v="1"/>
    <x v="2"/>
    <x v="3"/>
    <n v="5"/>
    <n v="935.58"/>
    <n v="4677.8999999999996"/>
    <n v="3.9"/>
  </r>
  <r>
    <s v="ORD10915"/>
    <x v="205"/>
    <x v="2"/>
    <x v="0"/>
    <x v="1"/>
    <n v="7"/>
    <n v="1139.02"/>
    <n v="7973.14"/>
    <n v="4.8"/>
  </r>
  <r>
    <s v="ORD10916"/>
    <x v="305"/>
    <x v="3"/>
    <x v="1"/>
    <x v="5"/>
    <n v="18"/>
    <n v="1222.04"/>
    <n v="21996.720000000001"/>
    <n v="3.1"/>
  </r>
  <r>
    <s v="ORD10917"/>
    <x v="66"/>
    <x v="3"/>
    <x v="2"/>
    <x v="3"/>
    <n v="10"/>
    <n v="1268.69"/>
    <n v="12686.9"/>
    <n v="4.0999999999999996"/>
  </r>
  <r>
    <s v="ORD10918"/>
    <x v="185"/>
    <x v="2"/>
    <x v="2"/>
    <x v="3"/>
    <n v="4"/>
    <n v="250.37"/>
    <n v="1001.48"/>
    <n v="5"/>
  </r>
  <r>
    <s v="ORD10919"/>
    <x v="233"/>
    <x v="2"/>
    <x v="0"/>
    <x v="1"/>
    <n v="3"/>
    <n v="224.53"/>
    <n v="673.59"/>
    <n v="3.8"/>
  </r>
  <r>
    <s v="ORD10920"/>
    <x v="91"/>
    <x v="2"/>
    <x v="2"/>
    <x v="6"/>
    <n v="12"/>
    <n v="930.99"/>
    <n v="11171.88"/>
    <n v="3.1"/>
  </r>
  <r>
    <s v="ORD10921"/>
    <x v="20"/>
    <x v="3"/>
    <x v="1"/>
    <x v="2"/>
    <n v="15"/>
    <n v="235.77"/>
    <n v="3536.55"/>
    <n v="3"/>
  </r>
  <r>
    <s v="ORD10922"/>
    <x v="113"/>
    <x v="1"/>
    <x v="0"/>
    <x v="1"/>
    <n v="14"/>
    <n v="1036.19"/>
    <n v="14506.66"/>
    <n v="4.2"/>
  </r>
  <r>
    <s v="ORD10923"/>
    <x v="54"/>
    <x v="3"/>
    <x v="2"/>
    <x v="3"/>
    <n v="10"/>
    <n v="895.16"/>
    <n v="8951.6"/>
    <n v="4.2"/>
  </r>
  <r>
    <s v="ORD10924"/>
    <x v="316"/>
    <x v="2"/>
    <x v="2"/>
    <x v="7"/>
    <n v="21"/>
    <n v="423.44"/>
    <n v="8892.24"/>
    <n v="4.0999999999999996"/>
  </r>
  <r>
    <s v="ORD10925"/>
    <x v="219"/>
    <x v="0"/>
    <x v="2"/>
    <x v="7"/>
    <n v="5"/>
    <n v="1314.84"/>
    <n v="6574.2"/>
    <n v="4.0999999999999996"/>
  </r>
  <r>
    <s v="ORD10926"/>
    <x v="319"/>
    <x v="3"/>
    <x v="1"/>
    <x v="2"/>
    <n v="14"/>
    <n v="1489.65"/>
    <n v="20855.099999999999"/>
    <n v="3.9"/>
  </r>
  <r>
    <s v="ORD10927"/>
    <x v="249"/>
    <x v="1"/>
    <x v="2"/>
    <x v="3"/>
    <n v="24"/>
    <n v="258.89"/>
    <n v="6213.36"/>
    <n v="4.2"/>
  </r>
  <r>
    <s v="ORD10928"/>
    <x v="168"/>
    <x v="3"/>
    <x v="0"/>
    <x v="8"/>
    <n v="12"/>
    <n v="778.83"/>
    <n v="9345.9599999999991"/>
    <n v="4.7"/>
  </r>
  <r>
    <s v="ORD10929"/>
    <x v="238"/>
    <x v="0"/>
    <x v="1"/>
    <x v="5"/>
    <n v="13"/>
    <n v="1427.72"/>
    <n v="18560.36"/>
    <n v="4"/>
  </r>
  <r>
    <s v="ORD10930"/>
    <x v="330"/>
    <x v="2"/>
    <x v="0"/>
    <x v="8"/>
    <n v="17"/>
    <n v="644.41999999999996"/>
    <n v="10955.14"/>
    <n v="3.8"/>
  </r>
  <r>
    <s v="ORD10931"/>
    <x v="60"/>
    <x v="2"/>
    <x v="0"/>
    <x v="0"/>
    <n v="15"/>
    <n v="925.08"/>
    <n v="13876.2"/>
    <n v="4.4000000000000004"/>
  </r>
  <r>
    <s v="ORD10932"/>
    <x v="113"/>
    <x v="1"/>
    <x v="1"/>
    <x v="4"/>
    <n v="8"/>
    <n v="1325.25"/>
    <n v="10602"/>
    <n v="3.6"/>
  </r>
  <r>
    <s v="ORD10933"/>
    <x v="162"/>
    <x v="2"/>
    <x v="2"/>
    <x v="7"/>
    <n v="14"/>
    <n v="250.11"/>
    <n v="3501.54"/>
    <n v="3.6"/>
  </r>
  <r>
    <s v="ORD10934"/>
    <x v="33"/>
    <x v="1"/>
    <x v="2"/>
    <x v="3"/>
    <n v="14"/>
    <n v="970.1"/>
    <n v="13581.4"/>
    <n v="3.7"/>
  </r>
  <r>
    <s v="ORD10935"/>
    <x v="253"/>
    <x v="2"/>
    <x v="1"/>
    <x v="5"/>
    <n v="5"/>
    <n v="591.5"/>
    <n v="2957.5"/>
    <n v="3.8"/>
  </r>
  <r>
    <s v="ORD10936"/>
    <x v="289"/>
    <x v="1"/>
    <x v="0"/>
    <x v="1"/>
    <n v="6"/>
    <n v="1403.69"/>
    <n v="8422.14"/>
    <n v="4.0999999999999996"/>
  </r>
  <r>
    <s v="ORD10937"/>
    <x v="260"/>
    <x v="1"/>
    <x v="0"/>
    <x v="1"/>
    <n v="22"/>
    <n v="917.66"/>
    <n v="20188.52"/>
    <n v="4.8"/>
  </r>
  <r>
    <s v="ORD10938"/>
    <x v="331"/>
    <x v="3"/>
    <x v="1"/>
    <x v="5"/>
    <n v="12"/>
    <n v="1266.5999999999999"/>
    <n v="15199.2"/>
    <n v="4.0999999999999996"/>
  </r>
  <r>
    <s v="ORD10939"/>
    <x v="169"/>
    <x v="2"/>
    <x v="2"/>
    <x v="7"/>
    <n v="1"/>
    <n v="18.48"/>
    <n v="18.48"/>
    <n v="4"/>
  </r>
  <r>
    <s v="ORD10940"/>
    <x v="163"/>
    <x v="1"/>
    <x v="0"/>
    <x v="0"/>
    <n v="12"/>
    <n v="61.31"/>
    <n v="735.72"/>
    <n v="3.2"/>
  </r>
  <r>
    <s v="ORD10941"/>
    <x v="105"/>
    <x v="1"/>
    <x v="2"/>
    <x v="3"/>
    <n v="4"/>
    <n v="157.47"/>
    <n v="629.88"/>
    <n v="4.8"/>
  </r>
  <r>
    <s v="ORD10942"/>
    <x v="320"/>
    <x v="0"/>
    <x v="1"/>
    <x v="5"/>
    <n v="16"/>
    <n v="521.71"/>
    <n v="8347.36"/>
    <n v="3.5"/>
  </r>
  <r>
    <s v="ORD10943"/>
    <x v="171"/>
    <x v="2"/>
    <x v="1"/>
    <x v="2"/>
    <n v="12"/>
    <n v="363.19"/>
    <n v="4358.28"/>
    <n v="4"/>
  </r>
  <r>
    <s v="ORD10944"/>
    <x v="120"/>
    <x v="0"/>
    <x v="0"/>
    <x v="0"/>
    <n v="5"/>
    <n v="796.37"/>
    <n v="3981.85"/>
    <n v="4.9000000000000004"/>
  </r>
  <r>
    <s v="ORD10945"/>
    <x v="25"/>
    <x v="0"/>
    <x v="0"/>
    <x v="8"/>
    <n v="4"/>
    <n v="1127.33"/>
    <n v="4509.32"/>
    <n v="4.0999999999999996"/>
  </r>
  <r>
    <s v="ORD10946"/>
    <x v="196"/>
    <x v="3"/>
    <x v="2"/>
    <x v="3"/>
    <n v="8"/>
    <n v="1398.03"/>
    <n v="11184.24"/>
    <n v="3.6"/>
  </r>
  <r>
    <s v="ORD10947"/>
    <x v="171"/>
    <x v="1"/>
    <x v="0"/>
    <x v="1"/>
    <n v="17"/>
    <n v="718.76"/>
    <n v="12218.92"/>
    <n v="4.5999999999999996"/>
  </r>
  <r>
    <s v="ORD10948"/>
    <x v="295"/>
    <x v="3"/>
    <x v="1"/>
    <x v="4"/>
    <n v="23"/>
    <n v="642.02"/>
    <n v="14766.46"/>
    <n v="4"/>
  </r>
  <r>
    <s v="ORD10949"/>
    <x v="153"/>
    <x v="2"/>
    <x v="0"/>
    <x v="0"/>
    <n v="11"/>
    <n v="663.45"/>
    <n v="7297.95"/>
    <n v="4.8"/>
  </r>
  <r>
    <s v="ORD10950"/>
    <x v="288"/>
    <x v="1"/>
    <x v="0"/>
    <x v="1"/>
    <n v="12"/>
    <n v="959.52"/>
    <n v="11514.24"/>
    <n v="4"/>
  </r>
  <r>
    <s v="ORD10951"/>
    <x v="168"/>
    <x v="2"/>
    <x v="2"/>
    <x v="7"/>
    <n v="13"/>
    <n v="700.29"/>
    <n v="9103.77"/>
    <n v="3.6"/>
  </r>
  <r>
    <s v="ORD10952"/>
    <x v="107"/>
    <x v="0"/>
    <x v="1"/>
    <x v="4"/>
    <n v="20"/>
    <n v="735.91"/>
    <n v="14718.2"/>
    <n v="3.9"/>
  </r>
  <r>
    <s v="ORD10953"/>
    <x v="245"/>
    <x v="0"/>
    <x v="1"/>
    <x v="2"/>
    <n v="5"/>
    <n v="392.76"/>
    <n v="1963.8"/>
    <n v="4.2"/>
  </r>
  <r>
    <s v="ORD10954"/>
    <x v="322"/>
    <x v="3"/>
    <x v="0"/>
    <x v="8"/>
    <n v="11"/>
    <n v="5.28"/>
    <n v="58.08"/>
    <n v="4.7"/>
  </r>
  <r>
    <s v="ORD10955"/>
    <x v="46"/>
    <x v="1"/>
    <x v="1"/>
    <x v="2"/>
    <n v="2"/>
    <n v="1470.33"/>
    <n v="2940.66"/>
    <n v="4"/>
  </r>
  <r>
    <s v="ORD10956"/>
    <x v="135"/>
    <x v="3"/>
    <x v="2"/>
    <x v="3"/>
    <n v="6"/>
    <n v="625.21"/>
    <n v="3751.26"/>
    <n v="3.5"/>
  </r>
  <r>
    <s v="ORD10957"/>
    <x v="169"/>
    <x v="3"/>
    <x v="2"/>
    <x v="3"/>
    <n v="16"/>
    <n v="876.89"/>
    <n v="14030.24"/>
    <n v="4.3"/>
  </r>
  <r>
    <s v="ORD10958"/>
    <x v="305"/>
    <x v="0"/>
    <x v="2"/>
    <x v="7"/>
    <n v="9"/>
    <n v="1263.3800000000001"/>
    <n v="11370.42"/>
    <n v="4.3"/>
  </r>
  <r>
    <s v="ORD10959"/>
    <x v="73"/>
    <x v="2"/>
    <x v="1"/>
    <x v="2"/>
    <n v="15"/>
    <n v="95.43"/>
    <n v="1431.45"/>
    <n v="3.7"/>
  </r>
  <r>
    <s v="ORD10960"/>
    <x v="304"/>
    <x v="0"/>
    <x v="1"/>
    <x v="5"/>
    <n v="12"/>
    <n v="138.88"/>
    <n v="1666.56"/>
    <n v="5"/>
  </r>
  <r>
    <s v="ORD10961"/>
    <x v="127"/>
    <x v="2"/>
    <x v="1"/>
    <x v="2"/>
    <n v="22"/>
    <n v="950.08"/>
    <n v="20901.759999999998"/>
    <n v="3.6"/>
  </r>
  <r>
    <s v="ORD10962"/>
    <x v="332"/>
    <x v="0"/>
    <x v="0"/>
    <x v="1"/>
    <n v="20"/>
    <n v="862.44"/>
    <n v="17248.8"/>
    <n v="4.0999999999999996"/>
  </r>
  <r>
    <s v="ORD10963"/>
    <x v="249"/>
    <x v="0"/>
    <x v="0"/>
    <x v="0"/>
    <n v="22"/>
    <n v="352.63"/>
    <n v="7757.86"/>
    <n v="3.5"/>
  </r>
  <r>
    <s v="ORD10964"/>
    <x v="195"/>
    <x v="3"/>
    <x v="2"/>
    <x v="7"/>
    <n v="17"/>
    <n v="987.78"/>
    <n v="16792.259999999998"/>
    <n v="4.9000000000000004"/>
  </r>
  <r>
    <s v="ORD10965"/>
    <x v="297"/>
    <x v="2"/>
    <x v="1"/>
    <x v="5"/>
    <n v="22"/>
    <n v="816.72"/>
    <n v="17967.84"/>
    <n v="3.6"/>
  </r>
  <r>
    <s v="ORD10966"/>
    <x v="44"/>
    <x v="3"/>
    <x v="0"/>
    <x v="1"/>
    <n v="10"/>
    <n v="388.49"/>
    <n v="3884.9"/>
    <n v="3.8"/>
  </r>
  <r>
    <s v="ORD10967"/>
    <x v="244"/>
    <x v="1"/>
    <x v="2"/>
    <x v="6"/>
    <n v="25"/>
    <n v="149.78"/>
    <n v="3744.5"/>
    <n v="4.4000000000000004"/>
  </r>
  <r>
    <s v="ORD10968"/>
    <x v="151"/>
    <x v="1"/>
    <x v="0"/>
    <x v="8"/>
    <n v="15"/>
    <n v="664.31"/>
    <n v="9964.65"/>
    <n v="4.5999999999999996"/>
  </r>
  <r>
    <s v="ORD10969"/>
    <x v="158"/>
    <x v="0"/>
    <x v="1"/>
    <x v="4"/>
    <n v="12"/>
    <n v="936.99"/>
    <n v="11243.88"/>
    <n v="3.2"/>
  </r>
  <r>
    <s v="ORD10970"/>
    <x v="183"/>
    <x v="1"/>
    <x v="1"/>
    <x v="2"/>
    <n v="2"/>
    <n v="1171.0899999999999"/>
    <n v="2342.1799999999998"/>
    <n v="4.7"/>
  </r>
  <r>
    <s v="ORD10971"/>
    <x v="25"/>
    <x v="2"/>
    <x v="2"/>
    <x v="6"/>
    <n v="18"/>
    <n v="1484.41"/>
    <n v="26719.38"/>
    <n v="4.0999999999999996"/>
  </r>
  <r>
    <s v="ORD10972"/>
    <x v="333"/>
    <x v="0"/>
    <x v="1"/>
    <x v="2"/>
    <n v="4"/>
    <n v="908.41"/>
    <n v="3633.64"/>
    <n v="3.5"/>
  </r>
  <r>
    <s v="ORD10973"/>
    <x v="3"/>
    <x v="1"/>
    <x v="1"/>
    <x v="4"/>
    <n v="13"/>
    <n v="137.04"/>
    <n v="1781.52"/>
    <n v="3.5"/>
  </r>
  <r>
    <s v="ORD10974"/>
    <x v="153"/>
    <x v="3"/>
    <x v="1"/>
    <x v="5"/>
    <n v="6"/>
    <n v="1256.28"/>
    <n v="7537.68"/>
    <n v="4.0999999999999996"/>
  </r>
  <r>
    <s v="ORD10975"/>
    <x v="170"/>
    <x v="3"/>
    <x v="1"/>
    <x v="4"/>
    <n v="11"/>
    <n v="751.7"/>
    <n v="8268.7000000000007"/>
    <n v="4.5999999999999996"/>
  </r>
  <r>
    <s v="ORD10976"/>
    <x v="70"/>
    <x v="0"/>
    <x v="2"/>
    <x v="6"/>
    <n v="15"/>
    <n v="200.29"/>
    <n v="3004.35"/>
    <n v="3.3"/>
  </r>
  <r>
    <s v="ORD10977"/>
    <x v="25"/>
    <x v="2"/>
    <x v="0"/>
    <x v="0"/>
    <n v="16"/>
    <n v="486.8"/>
    <n v="7788.8"/>
    <n v="3.1"/>
  </r>
  <r>
    <s v="ORD10978"/>
    <x v="334"/>
    <x v="3"/>
    <x v="0"/>
    <x v="1"/>
    <n v="25"/>
    <n v="151.25"/>
    <n v="3781.25"/>
    <n v="3.5"/>
  </r>
  <r>
    <s v="ORD10979"/>
    <x v="280"/>
    <x v="1"/>
    <x v="1"/>
    <x v="5"/>
    <n v="25"/>
    <n v="522.89"/>
    <n v="13072.25"/>
    <n v="4"/>
  </r>
  <r>
    <s v="ORD10980"/>
    <x v="62"/>
    <x v="0"/>
    <x v="1"/>
    <x v="2"/>
    <n v="1"/>
    <n v="431.08"/>
    <n v="431.08"/>
    <n v="4.2"/>
  </r>
  <r>
    <s v="ORD10981"/>
    <x v="187"/>
    <x v="3"/>
    <x v="1"/>
    <x v="2"/>
    <n v="12"/>
    <n v="541.58000000000004"/>
    <n v="6498.96"/>
    <n v="4.2"/>
  </r>
  <r>
    <s v="ORD10982"/>
    <x v="305"/>
    <x v="0"/>
    <x v="2"/>
    <x v="6"/>
    <n v="12"/>
    <n v="102.78"/>
    <n v="1233.3599999999999"/>
    <n v="3.4"/>
  </r>
  <r>
    <s v="ORD10983"/>
    <x v="332"/>
    <x v="1"/>
    <x v="1"/>
    <x v="2"/>
    <n v="19"/>
    <n v="1326.24"/>
    <n v="25198.560000000001"/>
    <n v="4.5"/>
  </r>
  <r>
    <s v="ORD10984"/>
    <x v="232"/>
    <x v="2"/>
    <x v="1"/>
    <x v="2"/>
    <n v="24"/>
    <n v="347.91"/>
    <n v="8349.84"/>
    <n v="4.8"/>
  </r>
  <r>
    <s v="ORD10985"/>
    <x v="216"/>
    <x v="3"/>
    <x v="1"/>
    <x v="4"/>
    <n v="7"/>
    <n v="994.82"/>
    <n v="6963.74"/>
    <n v="4.3"/>
  </r>
  <r>
    <s v="ORD10986"/>
    <x v="21"/>
    <x v="0"/>
    <x v="1"/>
    <x v="2"/>
    <n v="15"/>
    <n v="378.94"/>
    <n v="5684.1"/>
    <n v="3.3"/>
  </r>
  <r>
    <s v="ORD10987"/>
    <x v="57"/>
    <x v="1"/>
    <x v="2"/>
    <x v="3"/>
    <n v="20"/>
    <n v="1311.41"/>
    <n v="26228.2"/>
    <n v="4.8"/>
  </r>
  <r>
    <s v="ORD10988"/>
    <x v="158"/>
    <x v="3"/>
    <x v="2"/>
    <x v="3"/>
    <n v="12"/>
    <n v="626.69000000000005"/>
    <n v="7520.28"/>
    <n v="4.4000000000000004"/>
  </r>
  <r>
    <s v="ORD10989"/>
    <x v="320"/>
    <x v="2"/>
    <x v="2"/>
    <x v="3"/>
    <n v="19"/>
    <n v="214.93"/>
    <n v="4083.67"/>
    <n v="3.2"/>
  </r>
  <r>
    <s v="ORD10990"/>
    <x v="235"/>
    <x v="3"/>
    <x v="1"/>
    <x v="4"/>
    <n v="21"/>
    <n v="1341.22"/>
    <n v="28165.62"/>
    <n v="4.5"/>
  </r>
  <r>
    <s v="ORD10991"/>
    <x v="265"/>
    <x v="1"/>
    <x v="2"/>
    <x v="6"/>
    <n v="23"/>
    <n v="120.43"/>
    <n v="2769.89"/>
    <n v="4.0999999999999996"/>
  </r>
  <r>
    <s v="ORD10992"/>
    <x v="269"/>
    <x v="3"/>
    <x v="2"/>
    <x v="6"/>
    <n v="18"/>
    <n v="1455.27"/>
    <n v="26194.86"/>
    <n v="3.9"/>
  </r>
  <r>
    <s v="ORD10993"/>
    <x v="18"/>
    <x v="2"/>
    <x v="2"/>
    <x v="3"/>
    <n v="10"/>
    <n v="1461.18"/>
    <n v="14611.8"/>
    <n v="4"/>
  </r>
  <r>
    <s v="ORD10994"/>
    <x v="199"/>
    <x v="3"/>
    <x v="0"/>
    <x v="1"/>
    <n v="1"/>
    <n v="983.69"/>
    <n v="983.69"/>
    <n v="3.8"/>
  </r>
  <r>
    <s v="ORD10995"/>
    <x v="335"/>
    <x v="2"/>
    <x v="0"/>
    <x v="1"/>
    <n v="7"/>
    <n v="362.53"/>
    <n v="2537.71"/>
    <n v="4.8"/>
  </r>
  <r>
    <s v="ORD10996"/>
    <x v="312"/>
    <x v="3"/>
    <x v="0"/>
    <x v="0"/>
    <n v="3"/>
    <n v="500.72"/>
    <n v="1502.16"/>
    <n v="4"/>
  </r>
  <r>
    <s v="ORD10997"/>
    <x v="299"/>
    <x v="0"/>
    <x v="2"/>
    <x v="3"/>
    <n v="21"/>
    <n v="1451.11"/>
    <n v="30473.31"/>
    <n v="3.6"/>
  </r>
  <r>
    <s v="ORD10998"/>
    <x v="125"/>
    <x v="2"/>
    <x v="1"/>
    <x v="4"/>
    <n v="16"/>
    <n v="1019.77"/>
    <n v="16316.32"/>
    <n v="4.8"/>
  </r>
  <r>
    <s v="ORD10999"/>
    <x v="34"/>
    <x v="1"/>
    <x v="2"/>
    <x v="6"/>
    <n v="17"/>
    <n v="142.94999999999999"/>
    <n v="2430.15"/>
    <n v="4.5"/>
  </r>
  <r>
    <s v="ORD11000"/>
    <x v="336"/>
    <x v="1"/>
    <x v="1"/>
    <x v="5"/>
    <n v="5"/>
    <n v="805.81"/>
    <n v="4029.05"/>
    <n v="4.2"/>
  </r>
  <r>
    <s v="ORD11001"/>
    <x v="59"/>
    <x v="3"/>
    <x v="1"/>
    <x v="5"/>
    <n v="20"/>
    <n v="78.88"/>
    <n v="1577.6"/>
    <n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8A9885-F718-4082-A308-4EE483FA8C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41:O54" firstHeaderRow="1" firstDataRow="1" firstDataCol="1"/>
  <pivotFields count="11">
    <pivotField showAll="0"/>
    <pivotField axis="axisRow" numFmtId="14" showAll="0">
      <items count="338">
        <item x="318"/>
        <item x="329"/>
        <item x="192"/>
        <item x="101"/>
        <item x="109"/>
        <item x="83"/>
        <item x="332"/>
        <item x="29"/>
        <item x="75"/>
        <item x="76"/>
        <item x="17"/>
        <item x="319"/>
        <item x="107"/>
        <item x="247"/>
        <item x="11"/>
        <item x="169"/>
        <item x="1"/>
        <item x="288"/>
        <item x="170"/>
        <item x="216"/>
        <item x="105"/>
        <item x="217"/>
        <item x="184"/>
        <item x="336"/>
        <item x="300"/>
        <item x="196"/>
        <item x="311"/>
        <item x="135"/>
        <item x="157"/>
        <item x="246"/>
        <item x="12"/>
        <item x="224"/>
        <item x="312"/>
        <item x="24"/>
        <item x="164"/>
        <item x="209"/>
        <item x="215"/>
        <item x="299"/>
        <item x="139"/>
        <item x="268"/>
        <item x="188"/>
        <item x="62"/>
        <item x="42"/>
        <item x="197"/>
        <item x="287"/>
        <item x="275"/>
        <item x="40"/>
        <item x="86"/>
        <item x="200"/>
        <item x="39"/>
        <item x="261"/>
        <item x="314"/>
        <item x="140"/>
        <item x="67"/>
        <item x="142"/>
        <item x="227"/>
        <item x="161"/>
        <item x="324"/>
        <item x="59"/>
        <item x="23"/>
        <item x="178"/>
        <item x="266"/>
        <item x="185"/>
        <item x="257"/>
        <item x="228"/>
        <item x="201"/>
        <item x="22"/>
        <item x="81"/>
        <item x="149"/>
        <item x="278"/>
        <item x="132"/>
        <item x="54"/>
        <item x="36"/>
        <item x="281"/>
        <item x="155"/>
        <item x="52"/>
        <item x="308"/>
        <item x="189"/>
        <item x="137"/>
        <item x="322"/>
        <item x="15"/>
        <item x="289"/>
        <item x="206"/>
        <item x="220"/>
        <item x="13"/>
        <item x="55"/>
        <item x="279"/>
        <item x="272"/>
        <item x="265"/>
        <item x="64"/>
        <item x="145"/>
        <item x="48"/>
        <item x="125"/>
        <item x="294"/>
        <item x="202"/>
        <item x="190"/>
        <item x="208"/>
        <item x="291"/>
        <item x="317"/>
        <item x="264"/>
        <item x="146"/>
        <item x="14"/>
        <item x="214"/>
        <item x="143"/>
        <item x="96"/>
        <item x="177"/>
        <item x="256"/>
        <item x="28"/>
        <item x="88"/>
        <item x="102"/>
        <item x="175"/>
        <item x="238"/>
        <item x="239"/>
        <item x="176"/>
        <item x="199"/>
        <item x="112"/>
        <item x="222"/>
        <item x="290"/>
        <item x="274"/>
        <item x="68"/>
        <item x="173"/>
        <item x="162"/>
        <item x="210"/>
        <item x="19"/>
        <item x="134"/>
        <item x="307"/>
        <item x="7"/>
        <item x="51"/>
        <item x="47"/>
        <item x="212"/>
        <item x="127"/>
        <item x="133"/>
        <item x="306"/>
        <item x="316"/>
        <item x="223"/>
        <item x="292"/>
        <item x="6"/>
        <item x="276"/>
        <item x="163"/>
        <item x="304"/>
        <item x="160"/>
        <item x="233"/>
        <item x="25"/>
        <item x="225"/>
        <item x="72"/>
        <item x="305"/>
        <item x="70"/>
        <item x="89"/>
        <item x="282"/>
        <item x="254"/>
        <item x="148"/>
        <item x="61"/>
        <item x="74"/>
        <item x="94"/>
        <item x="309"/>
        <item x="187"/>
        <item x="174"/>
        <item x="165"/>
        <item x="331"/>
        <item x="92"/>
        <item x="172"/>
        <item x="129"/>
        <item x="250"/>
        <item x="259"/>
        <item x="253"/>
        <item x="120"/>
        <item x="66"/>
        <item x="130"/>
        <item x="116"/>
        <item x="84"/>
        <item x="128"/>
        <item x="245"/>
        <item x="286"/>
        <item x="153"/>
        <item x="156"/>
        <item x="5"/>
        <item x="121"/>
        <item x="262"/>
        <item x="98"/>
        <item x="77"/>
        <item x="193"/>
        <item x="335"/>
        <item x="41"/>
        <item x="325"/>
        <item x="141"/>
        <item x="327"/>
        <item x="53"/>
        <item x="85"/>
        <item x="283"/>
        <item x="60"/>
        <item x="26"/>
        <item x="136"/>
        <item x="297"/>
        <item x="235"/>
        <item x="35"/>
        <item x="218"/>
        <item x="186"/>
        <item x="277"/>
        <item x="114"/>
        <item x="0"/>
        <item x="323"/>
        <item x="333"/>
        <item x="303"/>
        <item x="113"/>
        <item x="3"/>
        <item x="232"/>
        <item x="49"/>
        <item x="273"/>
        <item x="255"/>
        <item x="236"/>
        <item x="328"/>
        <item x="111"/>
        <item x="240"/>
        <item x="119"/>
        <item x="159"/>
        <item x="10"/>
        <item x="73"/>
        <item x="179"/>
        <item x="108"/>
        <item x="117"/>
        <item x="244"/>
        <item x="152"/>
        <item x="180"/>
        <item x="251"/>
        <item x="226"/>
        <item x="204"/>
        <item x="167"/>
        <item x="154"/>
        <item x="78"/>
        <item x="45"/>
        <item x="302"/>
        <item x="65"/>
        <item x="198"/>
        <item x="80"/>
        <item x="30"/>
        <item x="31"/>
        <item x="87"/>
        <item x="181"/>
        <item x="122"/>
        <item x="27"/>
        <item x="301"/>
        <item x="104"/>
        <item x="99"/>
        <item x="110"/>
        <item x="21"/>
        <item x="326"/>
        <item x="171"/>
        <item x="315"/>
        <item x="18"/>
        <item x="231"/>
        <item x="284"/>
        <item x="151"/>
        <item x="271"/>
        <item x="147"/>
        <item x="97"/>
        <item x="211"/>
        <item x="241"/>
        <item x="320"/>
        <item x="207"/>
        <item x="32"/>
        <item x="34"/>
        <item x="205"/>
        <item x="295"/>
        <item x="249"/>
        <item x="242"/>
        <item x="195"/>
        <item x="44"/>
        <item x="267"/>
        <item x="144"/>
        <item x="321"/>
        <item x="280"/>
        <item x="260"/>
        <item x="46"/>
        <item x="93"/>
        <item x="43"/>
        <item x="103"/>
        <item x="293"/>
        <item x="150"/>
        <item x="183"/>
        <item x="203"/>
        <item x="252"/>
        <item x="37"/>
        <item x="4"/>
        <item x="58"/>
        <item x="258"/>
        <item x="56"/>
        <item x="71"/>
        <item x="230"/>
        <item x="50"/>
        <item x="310"/>
        <item x="219"/>
        <item x="2"/>
        <item x="100"/>
        <item x="95"/>
        <item x="63"/>
        <item x="191"/>
        <item x="8"/>
        <item x="69"/>
        <item x="20"/>
        <item x="106"/>
        <item x="131"/>
        <item x="82"/>
        <item x="229"/>
        <item x="221"/>
        <item x="123"/>
        <item x="269"/>
        <item x="237"/>
        <item x="126"/>
        <item x="166"/>
        <item x="296"/>
        <item x="168"/>
        <item x="115"/>
        <item x="138"/>
        <item x="330"/>
        <item x="57"/>
        <item x="213"/>
        <item x="194"/>
        <item x="118"/>
        <item x="182"/>
        <item x="234"/>
        <item x="9"/>
        <item x="270"/>
        <item x="313"/>
        <item x="243"/>
        <item x="124"/>
        <item x="91"/>
        <item x="248"/>
        <item x="334"/>
        <item x="79"/>
        <item x="263"/>
        <item x="16"/>
        <item x="38"/>
        <item x="158"/>
        <item x="90"/>
        <item x="285"/>
        <item x="298"/>
        <item x="33"/>
        <item t="default"/>
      </items>
    </pivotField>
    <pivotField showAll="0">
      <items count="5">
        <item x="2"/>
        <item x="3"/>
        <item x="0"/>
        <item x="1"/>
        <item t="default"/>
      </items>
    </pivotField>
    <pivotField showAll="0">
      <items count="4">
        <item x="1"/>
        <item x="0"/>
        <item x="2"/>
        <item t="default"/>
      </items>
    </pivotField>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1"/>
  </rowFields>
  <rowItems count="13">
    <i>
      <x v="1"/>
    </i>
    <i>
      <x v="2"/>
    </i>
    <i>
      <x v="3"/>
    </i>
    <i>
      <x v="4"/>
    </i>
    <i>
      <x v="5"/>
    </i>
    <i>
      <x v="6"/>
    </i>
    <i>
      <x v="7"/>
    </i>
    <i>
      <x v="8"/>
    </i>
    <i>
      <x v="9"/>
    </i>
    <i>
      <x v="10"/>
    </i>
    <i>
      <x v="11"/>
    </i>
    <i>
      <x v="12"/>
    </i>
    <i t="grand">
      <x/>
    </i>
  </rowItems>
  <colItems count="1">
    <i/>
  </colItems>
  <dataFields count="1">
    <dataField name="Sum of Reven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7D34BE-FF68-4DFC-918A-1441AF1EAA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41:L51" firstHeaderRow="1" firstDataRow="1" firstDataCol="1"/>
  <pivotFields count="11">
    <pivotField showAll="0"/>
    <pivotField numFmtId="14" showAll="0">
      <items count="338">
        <item x="318"/>
        <item x="329"/>
        <item x="192"/>
        <item x="101"/>
        <item x="109"/>
        <item x="83"/>
        <item x="332"/>
        <item x="29"/>
        <item x="75"/>
        <item x="76"/>
        <item x="17"/>
        <item x="319"/>
        <item x="107"/>
        <item x="247"/>
        <item x="11"/>
        <item x="169"/>
        <item x="1"/>
        <item x="288"/>
        <item x="170"/>
        <item x="216"/>
        <item x="105"/>
        <item x="217"/>
        <item x="184"/>
        <item x="336"/>
        <item x="300"/>
        <item x="196"/>
        <item x="311"/>
        <item x="135"/>
        <item x="157"/>
        <item x="246"/>
        <item x="12"/>
        <item x="224"/>
        <item x="312"/>
        <item x="24"/>
        <item x="164"/>
        <item x="209"/>
        <item x="215"/>
        <item x="299"/>
        <item x="139"/>
        <item x="268"/>
        <item x="188"/>
        <item x="62"/>
        <item x="42"/>
        <item x="197"/>
        <item x="287"/>
        <item x="275"/>
        <item x="40"/>
        <item x="86"/>
        <item x="200"/>
        <item x="39"/>
        <item x="261"/>
        <item x="314"/>
        <item x="140"/>
        <item x="67"/>
        <item x="142"/>
        <item x="227"/>
        <item x="161"/>
        <item x="324"/>
        <item x="59"/>
        <item x="23"/>
        <item x="178"/>
        <item x="266"/>
        <item x="185"/>
        <item x="257"/>
        <item x="228"/>
        <item x="201"/>
        <item x="22"/>
        <item x="81"/>
        <item x="149"/>
        <item x="278"/>
        <item x="132"/>
        <item x="54"/>
        <item x="36"/>
        <item x="281"/>
        <item x="155"/>
        <item x="52"/>
        <item x="308"/>
        <item x="189"/>
        <item x="137"/>
        <item x="322"/>
        <item x="15"/>
        <item x="289"/>
        <item x="206"/>
        <item x="220"/>
        <item x="13"/>
        <item x="55"/>
        <item x="279"/>
        <item x="272"/>
        <item x="265"/>
        <item x="64"/>
        <item x="145"/>
        <item x="48"/>
        <item x="125"/>
        <item x="294"/>
        <item x="202"/>
        <item x="190"/>
        <item x="208"/>
        <item x="291"/>
        <item x="317"/>
        <item x="264"/>
        <item x="146"/>
        <item x="14"/>
        <item x="214"/>
        <item x="143"/>
        <item x="96"/>
        <item x="177"/>
        <item x="256"/>
        <item x="28"/>
        <item x="88"/>
        <item x="102"/>
        <item x="175"/>
        <item x="238"/>
        <item x="239"/>
        <item x="176"/>
        <item x="199"/>
        <item x="112"/>
        <item x="222"/>
        <item x="290"/>
        <item x="274"/>
        <item x="68"/>
        <item x="173"/>
        <item x="162"/>
        <item x="210"/>
        <item x="19"/>
        <item x="134"/>
        <item x="307"/>
        <item x="7"/>
        <item x="51"/>
        <item x="47"/>
        <item x="212"/>
        <item x="127"/>
        <item x="133"/>
        <item x="306"/>
        <item x="316"/>
        <item x="223"/>
        <item x="292"/>
        <item x="6"/>
        <item x="276"/>
        <item x="163"/>
        <item x="304"/>
        <item x="160"/>
        <item x="233"/>
        <item x="25"/>
        <item x="225"/>
        <item x="72"/>
        <item x="305"/>
        <item x="70"/>
        <item x="89"/>
        <item x="282"/>
        <item x="254"/>
        <item x="148"/>
        <item x="61"/>
        <item x="74"/>
        <item x="94"/>
        <item x="309"/>
        <item x="187"/>
        <item x="174"/>
        <item x="165"/>
        <item x="331"/>
        <item x="92"/>
        <item x="172"/>
        <item x="129"/>
        <item x="250"/>
        <item x="259"/>
        <item x="253"/>
        <item x="120"/>
        <item x="66"/>
        <item x="130"/>
        <item x="116"/>
        <item x="84"/>
        <item x="128"/>
        <item x="245"/>
        <item x="286"/>
        <item x="153"/>
        <item x="156"/>
        <item x="5"/>
        <item x="121"/>
        <item x="262"/>
        <item x="98"/>
        <item x="77"/>
        <item x="193"/>
        <item x="335"/>
        <item x="41"/>
        <item x="325"/>
        <item x="141"/>
        <item x="327"/>
        <item x="53"/>
        <item x="85"/>
        <item x="283"/>
        <item x="60"/>
        <item x="26"/>
        <item x="136"/>
        <item x="297"/>
        <item x="235"/>
        <item x="35"/>
        <item x="218"/>
        <item x="186"/>
        <item x="277"/>
        <item x="114"/>
        <item x="0"/>
        <item x="323"/>
        <item x="333"/>
        <item x="303"/>
        <item x="113"/>
        <item x="3"/>
        <item x="232"/>
        <item x="49"/>
        <item x="273"/>
        <item x="255"/>
        <item x="236"/>
        <item x="328"/>
        <item x="111"/>
        <item x="240"/>
        <item x="119"/>
        <item x="159"/>
        <item x="10"/>
        <item x="73"/>
        <item x="179"/>
        <item x="108"/>
        <item x="117"/>
        <item x="244"/>
        <item x="152"/>
        <item x="180"/>
        <item x="251"/>
        <item x="226"/>
        <item x="204"/>
        <item x="167"/>
        <item x="154"/>
        <item x="78"/>
        <item x="45"/>
        <item x="302"/>
        <item x="65"/>
        <item x="198"/>
        <item x="80"/>
        <item x="30"/>
        <item x="31"/>
        <item x="87"/>
        <item x="181"/>
        <item x="122"/>
        <item x="27"/>
        <item x="301"/>
        <item x="104"/>
        <item x="99"/>
        <item x="110"/>
        <item x="21"/>
        <item x="326"/>
        <item x="171"/>
        <item x="315"/>
        <item x="18"/>
        <item x="231"/>
        <item x="284"/>
        <item x="151"/>
        <item x="271"/>
        <item x="147"/>
        <item x="97"/>
        <item x="211"/>
        <item x="241"/>
        <item x="320"/>
        <item x="207"/>
        <item x="32"/>
        <item x="34"/>
        <item x="205"/>
        <item x="295"/>
        <item x="249"/>
        <item x="242"/>
        <item x="195"/>
        <item x="44"/>
        <item x="267"/>
        <item x="144"/>
        <item x="321"/>
        <item x="280"/>
        <item x="260"/>
        <item x="46"/>
        <item x="93"/>
        <item x="43"/>
        <item x="103"/>
        <item x="293"/>
        <item x="150"/>
        <item x="183"/>
        <item x="203"/>
        <item x="252"/>
        <item x="37"/>
        <item x="4"/>
        <item x="58"/>
        <item x="258"/>
        <item x="56"/>
        <item x="71"/>
        <item x="230"/>
        <item x="50"/>
        <item x="310"/>
        <item x="219"/>
        <item x="2"/>
        <item x="100"/>
        <item x="95"/>
        <item x="63"/>
        <item x="191"/>
        <item x="8"/>
        <item x="69"/>
        <item x="20"/>
        <item x="106"/>
        <item x="131"/>
        <item x="82"/>
        <item x="229"/>
        <item x="221"/>
        <item x="123"/>
        <item x="269"/>
        <item x="237"/>
        <item x="126"/>
        <item x="166"/>
        <item x="296"/>
        <item x="168"/>
        <item x="115"/>
        <item x="138"/>
        <item x="330"/>
        <item x="57"/>
        <item x="213"/>
        <item x="194"/>
        <item x="118"/>
        <item x="182"/>
        <item x="234"/>
        <item x="9"/>
        <item x="270"/>
        <item x="313"/>
        <item x="243"/>
        <item x="124"/>
        <item x="91"/>
        <item x="248"/>
        <item x="334"/>
        <item x="79"/>
        <item x="263"/>
        <item x="16"/>
        <item x="38"/>
        <item x="158"/>
        <item x="90"/>
        <item x="285"/>
        <item x="298"/>
        <item x="33"/>
        <item t="default"/>
      </items>
    </pivotField>
    <pivotField showAll="0">
      <items count="5">
        <item x="2"/>
        <item x="3"/>
        <item x="0"/>
        <item x="1"/>
        <item t="default"/>
      </items>
    </pivotField>
    <pivotField showAll="0">
      <items count="4">
        <item x="1"/>
        <item x="0"/>
        <item x="2"/>
        <item t="default"/>
      </items>
    </pivotField>
    <pivotField axis="axisRow" showAll="0" sortType="descending">
      <items count="10">
        <item x="8"/>
        <item x="1"/>
        <item x="0"/>
        <item x="2"/>
        <item x="4"/>
        <item x="6"/>
        <item x="7"/>
        <item x="3"/>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0">
    <i>
      <x v="4"/>
    </i>
    <i>
      <x v="7"/>
    </i>
    <i>
      <x v="8"/>
    </i>
    <i>
      <x/>
    </i>
    <i>
      <x v="5"/>
    </i>
    <i>
      <x v="3"/>
    </i>
    <i>
      <x v="6"/>
    </i>
    <i>
      <x v="2"/>
    </i>
    <i>
      <x v="1"/>
    </i>
    <i t="grand">
      <x/>
    </i>
  </rowItems>
  <colItems count="1">
    <i/>
  </colItems>
  <dataFields count="1">
    <dataField name="Sum of Revenue" fld="7" baseField="0" baseItem="0"/>
  </dataFields>
  <formats count="1">
    <format dxfId="0">
      <pivotArea collapsedLevelsAreSubtotals="1" fieldPosition="0">
        <references count="1">
          <reference field="4"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FB2134-E418-43EC-BF43-31925405F1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41:I45" firstHeaderRow="1" firstDataRow="1" firstDataCol="1"/>
  <pivotFields count="11">
    <pivotField showAll="0"/>
    <pivotField numFmtId="14" showAll="0">
      <items count="338">
        <item x="318"/>
        <item x="329"/>
        <item x="192"/>
        <item x="101"/>
        <item x="109"/>
        <item x="83"/>
        <item x="332"/>
        <item x="29"/>
        <item x="75"/>
        <item x="76"/>
        <item x="17"/>
        <item x="319"/>
        <item x="107"/>
        <item x="247"/>
        <item x="11"/>
        <item x="169"/>
        <item x="1"/>
        <item x="288"/>
        <item x="170"/>
        <item x="216"/>
        <item x="105"/>
        <item x="217"/>
        <item x="184"/>
        <item x="336"/>
        <item x="300"/>
        <item x="196"/>
        <item x="311"/>
        <item x="135"/>
        <item x="157"/>
        <item x="246"/>
        <item x="12"/>
        <item x="224"/>
        <item x="312"/>
        <item x="24"/>
        <item x="164"/>
        <item x="209"/>
        <item x="215"/>
        <item x="299"/>
        <item x="139"/>
        <item x="268"/>
        <item x="188"/>
        <item x="62"/>
        <item x="42"/>
        <item x="197"/>
        <item x="287"/>
        <item x="275"/>
        <item x="40"/>
        <item x="86"/>
        <item x="200"/>
        <item x="39"/>
        <item x="261"/>
        <item x="314"/>
        <item x="140"/>
        <item x="67"/>
        <item x="142"/>
        <item x="227"/>
        <item x="161"/>
        <item x="324"/>
        <item x="59"/>
        <item x="23"/>
        <item x="178"/>
        <item x="266"/>
        <item x="185"/>
        <item x="257"/>
        <item x="228"/>
        <item x="201"/>
        <item x="22"/>
        <item x="81"/>
        <item x="149"/>
        <item x="278"/>
        <item x="132"/>
        <item x="54"/>
        <item x="36"/>
        <item x="281"/>
        <item x="155"/>
        <item x="52"/>
        <item x="308"/>
        <item x="189"/>
        <item x="137"/>
        <item x="322"/>
        <item x="15"/>
        <item x="289"/>
        <item x="206"/>
        <item x="220"/>
        <item x="13"/>
        <item x="55"/>
        <item x="279"/>
        <item x="272"/>
        <item x="265"/>
        <item x="64"/>
        <item x="145"/>
        <item x="48"/>
        <item x="125"/>
        <item x="294"/>
        <item x="202"/>
        <item x="190"/>
        <item x="208"/>
        <item x="291"/>
        <item x="317"/>
        <item x="264"/>
        <item x="146"/>
        <item x="14"/>
        <item x="214"/>
        <item x="143"/>
        <item x="96"/>
        <item x="177"/>
        <item x="256"/>
        <item x="28"/>
        <item x="88"/>
        <item x="102"/>
        <item x="175"/>
        <item x="238"/>
        <item x="239"/>
        <item x="176"/>
        <item x="199"/>
        <item x="112"/>
        <item x="222"/>
        <item x="290"/>
        <item x="274"/>
        <item x="68"/>
        <item x="173"/>
        <item x="162"/>
        <item x="210"/>
        <item x="19"/>
        <item x="134"/>
        <item x="307"/>
        <item x="7"/>
        <item x="51"/>
        <item x="47"/>
        <item x="212"/>
        <item x="127"/>
        <item x="133"/>
        <item x="306"/>
        <item x="316"/>
        <item x="223"/>
        <item x="292"/>
        <item x="6"/>
        <item x="276"/>
        <item x="163"/>
        <item x="304"/>
        <item x="160"/>
        <item x="233"/>
        <item x="25"/>
        <item x="225"/>
        <item x="72"/>
        <item x="305"/>
        <item x="70"/>
        <item x="89"/>
        <item x="282"/>
        <item x="254"/>
        <item x="148"/>
        <item x="61"/>
        <item x="74"/>
        <item x="94"/>
        <item x="309"/>
        <item x="187"/>
        <item x="174"/>
        <item x="165"/>
        <item x="331"/>
        <item x="92"/>
        <item x="172"/>
        <item x="129"/>
        <item x="250"/>
        <item x="259"/>
        <item x="253"/>
        <item x="120"/>
        <item x="66"/>
        <item x="130"/>
        <item x="116"/>
        <item x="84"/>
        <item x="128"/>
        <item x="245"/>
        <item x="286"/>
        <item x="153"/>
        <item x="156"/>
        <item x="5"/>
        <item x="121"/>
        <item x="262"/>
        <item x="98"/>
        <item x="77"/>
        <item x="193"/>
        <item x="335"/>
        <item x="41"/>
        <item x="325"/>
        <item x="141"/>
        <item x="327"/>
        <item x="53"/>
        <item x="85"/>
        <item x="283"/>
        <item x="60"/>
        <item x="26"/>
        <item x="136"/>
        <item x="297"/>
        <item x="235"/>
        <item x="35"/>
        <item x="218"/>
        <item x="186"/>
        <item x="277"/>
        <item x="114"/>
        <item x="0"/>
        <item x="323"/>
        <item x="333"/>
        <item x="303"/>
        <item x="113"/>
        <item x="3"/>
        <item x="232"/>
        <item x="49"/>
        <item x="273"/>
        <item x="255"/>
        <item x="236"/>
        <item x="328"/>
        <item x="111"/>
        <item x="240"/>
        <item x="119"/>
        <item x="159"/>
        <item x="10"/>
        <item x="73"/>
        <item x="179"/>
        <item x="108"/>
        <item x="117"/>
        <item x="244"/>
        <item x="152"/>
        <item x="180"/>
        <item x="251"/>
        <item x="226"/>
        <item x="204"/>
        <item x="167"/>
        <item x="154"/>
        <item x="78"/>
        <item x="45"/>
        <item x="302"/>
        <item x="65"/>
        <item x="198"/>
        <item x="80"/>
        <item x="30"/>
        <item x="31"/>
        <item x="87"/>
        <item x="181"/>
        <item x="122"/>
        <item x="27"/>
        <item x="301"/>
        <item x="104"/>
        <item x="99"/>
        <item x="110"/>
        <item x="21"/>
        <item x="326"/>
        <item x="171"/>
        <item x="315"/>
        <item x="18"/>
        <item x="231"/>
        <item x="284"/>
        <item x="151"/>
        <item x="271"/>
        <item x="147"/>
        <item x="97"/>
        <item x="211"/>
        <item x="241"/>
        <item x="320"/>
        <item x="207"/>
        <item x="32"/>
        <item x="34"/>
        <item x="205"/>
        <item x="295"/>
        <item x="249"/>
        <item x="242"/>
        <item x="195"/>
        <item x="44"/>
        <item x="267"/>
        <item x="144"/>
        <item x="321"/>
        <item x="280"/>
        <item x="260"/>
        <item x="46"/>
        <item x="93"/>
        <item x="43"/>
        <item x="103"/>
        <item x="293"/>
        <item x="150"/>
        <item x="183"/>
        <item x="203"/>
        <item x="252"/>
        <item x="37"/>
        <item x="4"/>
        <item x="58"/>
        <item x="258"/>
        <item x="56"/>
        <item x="71"/>
        <item x="230"/>
        <item x="50"/>
        <item x="310"/>
        <item x="219"/>
        <item x="2"/>
        <item x="100"/>
        <item x="95"/>
        <item x="63"/>
        <item x="191"/>
        <item x="8"/>
        <item x="69"/>
        <item x="20"/>
        <item x="106"/>
        <item x="131"/>
        <item x="82"/>
        <item x="229"/>
        <item x="221"/>
        <item x="123"/>
        <item x="269"/>
        <item x="237"/>
        <item x="126"/>
        <item x="166"/>
        <item x="296"/>
        <item x="168"/>
        <item x="115"/>
        <item x="138"/>
        <item x="330"/>
        <item x="57"/>
        <item x="213"/>
        <item x="194"/>
        <item x="118"/>
        <item x="182"/>
        <item x="234"/>
        <item x="9"/>
        <item x="270"/>
        <item x="313"/>
        <item x="243"/>
        <item x="124"/>
        <item x="91"/>
        <item x="248"/>
        <item x="334"/>
        <item x="79"/>
        <item x="263"/>
        <item x="16"/>
        <item x="38"/>
        <item x="158"/>
        <item x="90"/>
        <item x="285"/>
        <item x="298"/>
        <item x="33"/>
        <item t="default"/>
      </items>
    </pivotField>
    <pivotField showAll="0">
      <items count="5">
        <item x="2"/>
        <item x="3"/>
        <item x="0"/>
        <item x="1"/>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2"/>
    </i>
    <i>
      <x v="1"/>
    </i>
    <i t="grand">
      <x/>
    </i>
  </rowItems>
  <colItems count="1">
    <i/>
  </colItems>
  <dataFields count="1">
    <dataField name="Sum of Revenue" fld="7" baseField="0" baseItem="0"/>
  </dataField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2"/>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063FB9-ED8D-4A9E-80D9-2B30EC7370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41:F46" firstHeaderRow="1" firstDataRow="1" firstDataCol="1"/>
  <pivotFields count="11">
    <pivotField showAll="0"/>
    <pivotField numFmtId="14" showAll="0">
      <items count="338">
        <item x="318"/>
        <item x="329"/>
        <item x="192"/>
        <item x="101"/>
        <item x="109"/>
        <item x="83"/>
        <item x="332"/>
        <item x="29"/>
        <item x="75"/>
        <item x="76"/>
        <item x="17"/>
        <item x="319"/>
        <item x="107"/>
        <item x="247"/>
        <item x="11"/>
        <item x="169"/>
        <item x="1"/>
        <item x="288"/>
        <item x="170"/>
        <item x="216"/>
        <item x="105"/>
        <item x="217"/>
        <item x="184"/>
        <item x="336"/>
        <item x="300"/>
        <item x="196"/>
        <item x="311"/>
        <item x="135"/>
        <item x="157"/>
        <item x="246"/>
        <item x="12"/>
        <item x="224"/>
        <item x="312"/>
        <item x="24"/>
        <item x="164"/>
        <item x="209"/>
        <item x="215"/>
        <item x="299"/>
        <item x="139"/>
        <item x="268"/>
        <item x="188"/>
        <item x="62"/>
        <item x="42"/>
        <item x="197"/>
        <item x="287"/>
        <item x="275"/>
        <item x="40"/>
        <item x="86"/>
        <item x="200"/>
        <item x="39"/>
        <item x="261"/>
        <item x="314"/>
        <item x="140"/>
        <item x="67"/>
        <item x="142"/>
        <item x="227"/>
        <item x="161"/>
        <item x="324"/>
        <item x="59"/>
        <item x="23"/>
        <item x="178"/>
        <item x="266"/>
        <item x="185"/>
        <item x="257"/>
        <item x="228"/>
        <item x="201"/>
        <item x="22"/>
        <item x="81"/>
        <item x="149"/>
        <item x="278"/>
        <item x="132"/>
        <item x="54"/>
        <item x="36"/>
        <item x="281"/>
        <item x="155"/>
        <item x="52"/>
        <item x="308"/>
        <item x="189"/>
        <item x="137"/>
        <item x="322"/>
        <item x="15"/>
        <item x="289"/>
        <item x="206"/>
        <item x="220"/>
        <item x="13"/>
        <item x="55"/>
        <item x="279"/>
        <item x="272"/>
        <item x="265"/>
        <item x="64"/>
        <item x="145"/>
        <item x="48"/>
        <item x="125"/>
        <item x="294"/>
        <item x="202"/>
        <item x="190"/>
        <item x="208"/>
        <item x="291"/>
        <item x="317"/>
        <item x="264"/>
        <item x="146"/>
        <item x="14"/>
        <item x="214"/>
        <item x="143"/>
        <item x="96"/>
        <item x="177"/>
        <item x="256"/>
        <item x="28"/>
        <item x="88"/>
        <item x="102"/>
        <item x="175"/>
        <item x="238"/>
        <item x="239"/>
        <item x="176"/>
        <item x="199"/>
        <item x="112"/>
        <item x="222"/>
        <item x="290"/>
        <item x="274"/>
        <item x="68"/>
        <item x="173"/>
        <item x="162"/>
        <item x="210"/>
        <item x="19"/>
        <item x="134"/>
        <item x="307"/>
        <item x="7"/>
        <item x="51"/>
        <item x="47"/>
        <item x="212"/>
        <item x="127"/>
        <item x="133"/>
        <item x="306"/>
        <item x="316"/>
        <item x="223"/>
        <item x="292"/>
        <item x="6"/>
        <item x="276"/>
        <item x="163"/>
        <item x="304"/>
        <item x="160"/>
        <item x="233"/>
        <item x="25"/>
        <item x="225"/>
        <item x="72"/>
        <item x="305"/>
        <item x="70"/>
        <item x="89"/>
        <item x="282"/>
        <item x="254"/>
        <item x="148"/>
        <item x="61"/>
        <item x="74"/>
        <item x="94"/>
        <item x="309"/>
        <item x="187"/>
        <item x="174"/>
        <item x="165"/>
        <item x="331"/>
        <item x="92"/>
        <item x="172"/>
        <item x="129"/>
        <item x="250"/>
        <item x="259"/>
        <item x="253"/>
        <item x="120"/>
        <item x="66"/>
        <item x="130"/>
        <item x="116"/>
        <item x="84"/>
        <item x="128"/>
        <item x="245"/>
        <item x="286"/>
        <item x="153"/>
        <item x="156"/>
        <item x="5"/>
        <item x="121"/>
        <item x="262"/>
        <item x="98"/>
        <item x="77"/>
        <item x="193"/>
        <item x="335"/>
        <item x="41"/>
        <item x="325"/>
        <item x="141"/>
        <item x="327"/>
        <item x="53"/>
        <item x="85"/>
        <item x="283"/>
        <item x="60"/>
        <item x="26"/>
        <item x="136"/>
        <item x="297"/>
        <item x="235"/>
        <item x="35"/>
        <item x="218"/>
        <item x="186"/>
        <item x="277"/>
        <item x="114"/>
        <item x="0"/>
        <item x="323"/>
        <item x="333"/>
        <item x="303"/>
        <item x="113"/>
        <item x="3"/>
        <item x="232"/>
        <item x="49"/>
        <item x="273"/>
        <item x="255"/>
        <item x="236"/>
        <item x="328"/>
        <item x="111"/>
        <item x="240"/>
        <item x="119"/>
        <item x="159"/>
        <item x="10"/>
        <item x="73"/>
        <item x="179"/>
        <item x="108"/>
        <item x="117"/>
        <item x="244"/>
        <item x="152"/>
        <item x="180"/>
        <item x="251"/>
        <item x="226"/>
        <item x="204"/>
        <item x="167"/>
        <item x="154"/>
        <item x="78"/>
        <item x="45"/>
        <item x="302"/>
        <item x="65"/>
        <item x="198"/>
        <item x="80"/>
        <item x="30"/>
        <item x="31"/>
        <item x="87"/>
        <item x="181"/>
        <item x="122"/>
        <item x="27"/>
        <item x="301"/>
        <item x="104"/>
        <item x="99"/>
        <item x="110"/>
        <item x="21"/>
        <item x="326"/>
        <item x="171"/>
        <item x="315"/>
        <item x="18"/>
        <item x="231"/>
        <item x="284"/>
        <item x="151"/>
        <item x="271"/>
        <item x="147"/>
        <item x="97"/>
        <item x="211"/>
        <item x="241"/>
        <item x="320"/>
        <item x="207"/>
        <item x="32"/>
        <item x="34"/>
        <item x="205"/>
        <item x="295"/>
        <item x="249"/>
        <item x="242"/>
        <item x="195"/>
        <item x="44"/>
        <item x="267"/>
        <item x="144"/>
        <item x="321"/>
        <item x="280"/>
        <item x="260"/>
        <item x="46"/>
        <item x="93"/>
        <item x="43"/>
        <item x="103"/>
        <item x="293"/>
        <item x="150"/>
        <item x="183"/>
        <item x="203"/>
        <item x="252"/>
        <item x="37"/>
        <item x="4"/>
        <item x="58"/>
        <item x="258"/>
        <item x="56"/>
        <item x="71"/>
        <item x="230"/>
        <item x="50"/>
        <item x="310"/>
        <item x="219"/>
        <item x="2"/>
        <item x="100"/>
        <item x="95"/>
        <item x="63"/>
        <item x="191"/>
        <item x="8"/>
        <item x="69"/>
        <item x="20"/>
        <item x="106"/>
        <item x="131"/>
        <item x="82"/>
        <item x="229"/>
        <item x="221"/>
        <item x="123"/>
        <item x="269"/>
        <item x="237"/>
        <item x="126"/>
        <item x="166"/>
        <item x="296"/>
        <item x="168"/>
        <item x="115"/>
        <item x="138"/>
        <item x="330"/>
        <item x="57"/>
        <item x="213"/>
        <item x="194"/>
        <item x="118"/>
        <item x="182"/>
        <item x="234"/>
        <item x="9"/>
        <item x="270"/>
        <item x="313"/>
        <item x="243"/>
        <item x="124"/>
        <item x="91"/>
        <item x="248"/>
        <item x="334"/>
        <item x="79"/>
        <item x="263"/>
        <item x="16"/>
        <item x="38"/>
        <item x="158"/>
        <item x="90"/>
        <item x="285"/>
        <item x="298"/>
        <item x="33"/>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2"/>
    </i>
    <i>
      <x v="1"/>
    </i>
    <i>
      <x v="3"/>
    </i>
    <i>
      <x/>
    </i>
    <i t="grand">
      <x/>
    </i>
  </rowItems>
  <colItems count="1">
    <i/>
  </colItems>
  <dataFields count="1">
    <dataField name="Sum of Revenue" fld="7" baseField="0" baseItem="0"/>
  </dataFields>
  <formats count="3">
    <format dxfId="3">
      <pivotArea collapsedLevelsAreSubtotals="1" fieldPosition="0">
        <references count="1">
          <reference field="2" count="1">
            <x v="1"/>
          </reference>
        </references>
      </pivotArea>
    </format>
    <format dxfId="2">
      <pivotArea collapsedLevelsAreSubtotals="1" fieldPosition="0">
        <references count="1">
          <reference field="2" count="1">
            <x v="3"/>
          </reference>
        </references>
      </pivotArea>
    </format>
    <format dxfId="1">
      <pivotArea collapsedLevelsAreSubtotals="1" fieldPosition="0">
        <references count="1">
          <reference field="2" count="1">
            <x v="0"/>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2D8B68-D87A-477F-8418-937A6A300E08}" sourceName="Region">
  <pivotTables>
    <pivotTable tabId="4" name="PivotTable1"/>
    <pivotTable tabId="4" name="PivotTable2"/>
    <pivotTable tabId="4" name="PivotTable3"/>
    <pivotTable tabId="4" name="PivotTable4"/>
  </pivotTables>
  <data>
    <tabular pivotCacheId="44576514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EED439-E929-4B15-A15B-23CA06945F68}" sourceName="Category">
  <pivotTables>
    <pivotTable tabId="4" name="PivotTable2"/>
    <pivotTable tabId="4" name="PivotTable1"/>
    <pivotTable tabId="4" name="PivotTable3"/>
    <pivotTable tabId="4" name="PivotTable4"/>
  </pivotTables>
  <data>
    <tabular pivotCacheId="44576514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8555E823-2040-4F75-99B8-2B8AE3B783CF}" sourceName="Months (OrderDate)">
  <pivotTables>
    <pivotTable tabId="4" name="PivotTable2"/>
    <pivotTable tabId="4" name="PivotTable1"/>
    <pivotTable tabId="4" name="PivotTable3"/>
    <pivotTable tabId="4" name="PivotTable4"/>
  </pivotTables>
  <data>
    <tabular pivotCacheId="44576514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3ED685D-2641-4197-8998-91EEF9616F0F}" cache="Slicer_Region" caption="Region" rowHeight="241300"/>
  <slicer name="Category" xr10:uid="{F57E62E4-DD08-423B-93FD-F59303CE2A90}" cache="Slicer_Category" caption="Category" rowHeight="241300"/>
  <slicer name="Months (OrderDate)" xr10:uid="{F586BBD4-F54A-4B9C-8A64-D303E6C47D73}" cache="Slicer_Months__OrderDate" caption="Months (Order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59C592-F0AB-4697-9655-3F3F23EB9BD7}" name="tblsales" displayName="tblsales" ref="A1:I1001" totalsRowShown="0">
  <autoFilter ref="A1:I1001" xr:uid="{BA59C592-F0AB-4697-9655-3F3F23EB9BD7}"/>
  <tableColumns count="9">
    <tableColumn id="1" xr3:uid="{51AC3F3B-CF3E-46D5-A91A-FB135A3FD56A}" name="OrderID"/>
    <tableColumn id="2" xr3:uid="{7BCD2586-DEE1-4329-AD55-88AE9121A8D5}" name="OrderDate"/>
    <tableColumn id="3" xr3:uid="{71CA2749-2201-488F-B0FE-40949F6E938F}" name="Region"/>
    <tableColumn id="4" xr3:uid="{A1E15CF4-694A-4E4A-8FE3-DC3EB74E7DF4}" name="Category"/>
    <tableColumn id="5" xr3:uid="{E9BF3946-023D-42B6-9A0D-397528AD3705}" name="Product"/>
    <tableColumn id="6" xr3:uid="{CE5EA69B-8961-40D7-B4A3-CE9957C5528E}" name="UnitsSold"/>
    <tableColumn id="7" xr3:uid="{75B81AA0-CA95-4590-A311-E10756833EC6}" name="UnitPrice" dataDxfId="5" dataCellStyle="Currency"/>
    <tableColumn id="8" xr3:uid="{7DFBCAB8-A27A-4A60-BF82-B87C8691CF11}" name="Revenue" dataDxfId="4" dataCellStyle="Currency"/>
    <tableColumn id="9" xr3:uid="{66216FC2-78EB-4924-8AC7-6776CD27E81D}" name="CustomerSatisfac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workbookViewId="0">
      <selection activeCell="K5" sqref="K5"/>
    </sheetView>
  </sheetViews>
  <sheetFormatPr defaultRowHeight="14.5" x14ac:dyDescent="0.35"/>
  <cols>
    <col min="1" max="1" width="9.54296875" customWidth="1"/>
    <col min="2" max="2" width="11.7265625" customWidth="1"/>
    <col min="4" max="4" width="10.26953125" customWidth="1"/>
    <col min="5" max="5" width="9.453125" customWidth="1"/>
    <col min="6" max="6" width="10.7265625" customWidth="1"/>
    <col min="7" max="7" width="10.453125" style="6" customWidth="1"/>
    <col min="8" max="8" width="10" style="5" customWidth="1"/>
    <col min="9" max="9" width="20.7265625" customWidth="1"/>
  </cols>
  <sheetData>
    <row r="1" spans="1:9" x14ac:dyDescent="0.35">
      <c r="A1" t="s">
        <v>0</v>
      </c>
      <c r="B1" t="s">
        <v>1</v>
      </c>
      <c r="C1" t="s">
        <v>2</v>
      </c>
      <c r="D1" t="s">
        <v>3</v>
      </c>
      <c r="E1" t="s">
        <v>4</v>
      </c>
      <c r="F1" t="s">
        <v>5</v>
      </c>
      <c r="G1" s="6" t="s">
        <v>6</v>
      </c>
      <c r="H1" s="5" t="s">
        <v>7</v>
      </c>
      <c r="I1" t="s">
        <v>8</v>
      </c>
    </row>
    <row r="2" spans="1:9" x14ac:dyDescent="0.35">
      <c r="A2" t="s">
        <v>9</v>
      </c>
      <c r="B2" s="1">
        <v>45871</v>
      </c>
      <c r="C2" t="s">
        <v>11</v>
      </c>
      <c r="D2" t="s">
        <v>12</v>
      </c>
      <c r="E2" t="s">
        <v>13</v>
      </c>
      <c r="F2">
        <v>4</v>
      </c>
      <c r="G2" s="6">
        <v>594.04999999999995</v>
      </c>
      <c r="H2" s="5">
        <v>2376.1999999999998</v>
      </c>
      <c r="I2">
        <v>4.4000000000000004</v>
      </c>
    </row>
    <row r="3" spans="1:9" x14ac:dyDescent="0.35">
      <c r="A3" t="s">
        <v>14</v>
      </c>
      <c r="B3" s="1">
        <v>45675</v>
      </c>
      <c r="C3" t="s">
        <v>16</v>
      </c>
      <c r="D3" t="s">
        <v>12</v>
      </c>
      <c r="E3" t="s">
        <v>17</v>
      </c>
      <c r="F3">
        <v>20</v>
      </c>
      <c r="G3" s="6">
        <v>1162.1500000000001</v>
      </c>
      <c r="H3" s="5">
        <v>23243</v>
      </c>
      <c r="I3">
        <v>4.3</v>
      </c>
    </row>
    <row r="4" spans="1:9" x14ac:dyDescent="0.35">
      <c r="A4" t="s">
        <v>18</v>
      </c>
      <c r="B4" s="1">
        <v>45675</v>
      </c>
      <c r="C4" t="s">
        <v>16</v>
      </c>
      <c r="D4" t="s">
        <v>19</v>
      </c>
      <c r="E4" t="s">
        <v>20</v>
      </c>
      <c r="F4">
        <v>17</v>
      </c>
      <c r="G4" s="6">
        <v>866.81</v>
      </c>
      <c r="H4" s="5">
        <v>14735.77</v>
      </c>
      <c r="I4">
        <v>3.7</v>
      </c>
    </row>
    <row r="5" spans="1:9" x14ac:dyDescent="0.35">
      <c r="A5" t="s">
        <v>21</v>
      </c>
      <c r="B5" s="1">
        <v>45970</v>
      </c>
      <c r="C5" t="s">
        <v>23</v>
      </c>
      <c r="D5" t="s">
        <v>24</v>
      </c>
      <c r="E5" t="s">
        <v>25</v>
      </c>
      <c r="F5">
        <v>12</v>
      </c>
      <c r="G5" s="6">
        <v>1456.43</v>
      </c>
      <c r="H5" s="5">
        <v>17477.16</v>
      </c>
      <c r="I5">
        <v>4.2</v>
      </c>
    </row>
    <row r="6" spans="1:9" x14ac:dyDescent="0.35">
      <c r="A6" t="s">
        <v>26</v>
      </c>
      <c r="B6" s="1">
        <v>45876</v>
      </c>
      <c r="C6" t="s">
        <v>11</v>
      </c>
      <c r="D6" t="s">
        <v>19</v>
      </c>
      <c r="E6" t="s">
        <v>28</v>
      </c>
      <c r="F6">
        <v>20</v>
      </c>
      <c r="G6" s="6">
        <v>817.39</v>
      </c>
      <c r="H6" s="5">
        <v>16347.8</v>
      </c>
      <c r="I6">
        <v>3.4</v>
      </c>
    </row>
    <row r="7" spans="1:9" x14ac:dyDescent="0.35">
      <c r="A7" t="s">
        <v>29</v>
      </c>
      <c r="B7" s="1">
        <v>45961</v>
      </c>
      <c r="C7" t="s">
        <v>16</v>
      </c>
      <c r="D7" t="s">
        <v>19</v>
      </c>
      <c r="E7" t="s">
        <v>31</v>
      </c>
      <c r="F7">
        <v>7</v>
      </c>
      <c r="G7" s="6">
        <v>1014.6</v>
      </c>
      <c r="H7" s="5">
        <v>7102.2</v>
      </c>
      <c r="I7">
        <v>3.3</v>
      </c>
    </row>
    <row r="8" spans="1:9" x14ac:dyDescent="0.35">
      <c r="A8" t="s">
        <v>32</v>
      </c>
      <c r="B8" s="1">
        <v>45845</v>
      </c>
      <c r="C8" t="s">
        <v>16</v>
      </c>
      <c r="D8" t="s">
        <v>19</v>
      </c>
      <c r="E8" t="s">
        <v>31</v>
      </c>
      <c r="F8">
        <v>23</v>
      </c>
      <c r="G8" s="6">
        <v>1151.79</v>
      </c>
      <c r="H8" s="5">
        <v>26491.17</v>
      </c>
      <c r="I8">
        <v>3</v>
      </c>
    </row>
    <row r="9" spans="1:9" x14ac:dyDescent="0.35">
      <c r="A9" t="s">
        <v>34</v>
      </c>
      <c r="B9" s="1">
        <v>45802</v>
      </c>
      <c r="C9" t="s">
        <v>23</v>
      </c>
      <c r="D9" t="s">
        <v>19</v>
      </c>
      <c r="E9" t="s">
        <v>28</v>
      </c>
      <c r="F9">
        <v>19</v>
      </c>
      <c r="G9" s="6">
        <v>1149.69</v>
      </c>
      <c r="H9" s="5">
        <v>21844.11</v>
      </c>
      <c r="I9">
        <v>3.6</v>
      </c>
    </row>
    <row r="10" spans="1:9" x14ac:dyDescent="0.35">
      <c r="A10" t="s">
        <v>36</v>
      </c>
      <c r="B10" s="1">
        <v>45791</v>
      </c>
      <c r="C10" t="s">
        <v>38</v>
      </c>
      <c r="D10" t="s">
        <v>24</v>
      </c>
      <c r="E10" t="s">
        <v>25</v>
      </c>
      <c r="F10">
        <v>22</v>
      </c>
      <c r="G10" s="6">
        <v>1402.06</v>
      </c>
      <c r="H10" s="5">
        <v>30845.32</v>
      </c>
      <c r="I10">
        <v>3.5</v>
      </c>
    </row>
    <row r="11" spans="1:9" x14ac:dyDescent="0.35">
      <c r="A11" t="s">
        <v>39</v>
      </c>
      <c r="B11" s="1">
        <v>45976</v>
      </c>
      <c r="C11" t="s">
        <v>16</v>
      </c>
      <c r="D11" t="s">
        <v>19</v>
      </c>
      <c r="E11" t="s">
        <v>31</v>
      </c>
      <c r="F11">
        <v>12</v>
      </c>
      <c r="G11" s="6">
        <v>867.3</v>
      </c>
      <c r="H11" s="5">
        <v>10407.6</v>
      </c>
      <c r="I11">
        <v>4.0999999999999996</v>
      </c>
    </row>
    <row r="12" spans="1:9" x14ac:dyDescent="0.35">
      <c r="A12" t="s">
        <v>41</v>
      </c>
      <c r="B12" s="1">
        <v>45675</v>
      </c>
      <c r="C12" t="s">
        <v>16</v>
      </c>
      <c r="D12" t="s">
        <v>19</v>
      </c>
      <c r="E12" t="s">
        <v>31</v>
      </c>
      <c r="F12">
        <v>15</v>
      </c>
      <c r="G12" s="6">
        <v>391.94</v>
      </c>
      <c r="H12" s="5">
        <v>5879.1</v>
      </c>
      <c r="I12">
        <v>4.9000000000000004</v>
      </c>
    </row>
    <row r="13" spans="1:9" x14ac:dyDescent="0.35">
      <c r="A13" t="s">
        <v>42</v>
      </c>
      <c r="B13" s="1">
        <v>46002</v>
      </c>
      <c r="C13" t="s">
        <v>23</v>
      </c>
      <c r="D13" t="s">
        <v>24</v>
      </c>
      <c r="E13" t="s">
        <v>44</v>
      </c>
      <c r="F13">
        <v>2</v>
      </c>
      <c r="G13" s="6">
        <v>519.08000000000004</v>
      </c>
      <c r="H13" s="5">
        <v>1038.1600000000001</v>
      </c>
      <c r="I13">
        <v>4.5</v>
      </c>
    </row>
    <row r="14" spans="1:9" x14ac:dyDescent="0.35">
      <c r="A14" t="s">
        <v>45</v>
      </c>
      <c r="B14" s="1">
        <v>45889</v>
      </c>
      <c r="C14" t="s">
        <v>23</v>
      </c>
      <c r="D14" t="s">
        <v>24</v>
      </c>
      <c r="E14" t="s">
        <v>44</v>
      </c>
      <c r="F14">
        <v>10</v>
      </c>
      <c r="G14" s="6">
        <v>987.23</v>
      </c>
      <c r="H14" s="5">
        <v>9872.2999999999993</v>
      </c>
      <c r="I14">
        <v>4.5999999999999996</v>
      </c>
    </row>
    <row r="15" spans="1:9" x14ac:dyDescent="0.35">
      <c r="A15" t="s">
        <v>47</v>
      </c>
      <c r="B15" s="1">
        <v>45673</v>
      </c>
      <c r="C15" t="s">
        <v>23</v>
      </c>
      <c r="D15" t="s">
        <v>19</v>
      </c>
      <c r="E15" t="s">
        <v>28</v>
      </c>
      <c r="F15">
        <v>8</v>
      </c>
      <c r="G15" s="6">
        <v>1341.65</v>
      </c>
      <c r="H15" s="5">
        <v>10733.2</v>
      </c>
      <c r="I15">
        <v>4</v>
      </c>
    </row>
    <row r="16" spans="1:9" x14ac:dyDescent="0.35">
      <c r="A16" t="s">
        <v>49</v>
      </c>
      <c r="B16" s="1">
        <v>45689</v>
      </c>
      <c r="C16" t="s">
        <v>16</v>
      </c>
      <c r="D16" t="s">
        <v>12</v>
      </c>
      <c r="E16" t="s">
        <v>17</v>
      </c>
      <c r="F16">
        <v>10</v>
      </c>
      <c r="G16" s="6">
        <v>405.17</v>
      </c>
      <c r="H16" s="5">
        <v>4051.7</v>
      </c>
      <c r="I16">
        <v>4.5</v>
      </c>
    </row>
    <row r="17" spans="1:9" x14ac:dyDescent="0.35">
      <c r="A17" t="s">
        <v>51</v>
      </c>
      <c r="B17" s="1">
        <v>45747</v>
      </c>
      <c r="C17" t="s">
        <v>16</v>
      </c>
      <c r="D17" t="s">
        <v>19</v>
      </c>
      <c r="E17" t="s">
        <v>28</v>
      </c>
      <c r="F17">
        <v>3</v>
      </c>
      <c r="G17" s="6">
        <v>1261.8800000000001</v>
      </c>
      <c r="H17" s="5">
        <v>3785.64</v>
      </c>
      <c r="I17">
        <v>4.5</v>
      </c>
    </row>
    <row r="18" spans="1:9" x14ac:dyDescent="0.35">
      <c r="A18" t="s">
        <v>53</v>
      </c>
      <c r="B18" s="1">
        <v>45764</v>
      </c>
      <c r="C18" t="s">
        <v>38</v>
      </c>
      <c r="D18" t="s">
        <v>24</v>
      </c>
      <c r="E18" t="s">
        <v>25</v>
      </c>
      <c r="F18">
        <v>17</v>
      </c>
      <c r="G18" s="6">
        <v>742.5</v>
      </c>
      <c r="H18" s="5">
        <v>12622.5</v>
      </c>
      <c r="I18">
        <v>4</v>
      </c>
    </row>
    <row r="19" spans="1:9" x14ac:dyDescent="0.35">
      <c r="A19" t="s">
        <v>55</v>
      </c>
      <c r="B19" s="1">
        <v>45743</v>
      </c>
      <c r="C19" t="s">
        <v>38</v>
      </c>
      <c r="D19" t="s">
        <v>24</v>
      </c>
      <c r="E19" t="s">
        <v>25</v>
      </c>
      <c r="F19">
        <v>18</v>
      </c>
      <c r="G19" s="6">
        <v>532.83000000000004</v>
      </c>
      <c r="H19" s="5">
        <v>9590.94</v>
      </c>
      <c r="I19">
        <v>4.7</v>
      </c>
    </row>
    <row r="20" spans="1:9" x14ac:dyDescent="0.35">
      <c r="A20" t="s">
        <v>57</v>
      </c>
      <c r="B20" s="1">
        <v>46015</v>
      </c>
      <c r="C20" t="s">
        <v>23</v>
      </c>
      <c r="D20" t="s">
        <v>19</v>
      </c>
      <c r="E20" t="s">
        <v>28</v>
      </c>
      <c r="F20">
        <v>2</v>
      </c>
      <c r="G20" s="6">
        <v>361.73</v>
      </c>
      <c r="H20" s="5">
        <v>723.46</v>
      </c>
      <c r="I20">
        <v>3.9</v>
      </c>
    </row>
    <row r="21" spans="1:9" x14ac:dyDescent="0.35">
      <c r="A21" t="s">
        <v>59</v>
      </c>
      <c r="B21" s="1">
        <v>45669</v>
      </c>
      <c r="C21" t="s">
        <v>16</v>
      </c>
      <c r="D21" t="s">
        <v>24</v>
      </c>
      <c r="E21" t="s">
        <v>25</v>
      </c>
      <c r="F21">
        <v>19</v>
      </c>
      <c r="G21" s="6">
        <v>597.28</v>
      </c>
      <c r="H21" s="5">
        <v>11348.32</v>
      </c>
      <c r="I21">
        <v>4.2</v>
      </c>
    </row>
    <row r="22" spans="1:9" x14ac:dyDescent="0.35">
      <c r="A22" t="s">
        <v>61</v>
      </c>
      <c r="B22" s="1">
        <v>45926</v>
      </c>
      <c r="C22" t="s">
        <v>23</v>
      </c>
      <c r="D22" t="s">
        <v>19</v>
      </c>
      <c r="E22" t="s">
        <v>20</v>
      </c>
      <c r="F22">
        <v>11</v>
      </c>
      <c r="G22" s="6">
        <v>491.48</v>
      </c>
      <c r="H22" s="5">
        <v>5406.28</v>
      </c>
      <c r="I22">
        <v>4.0999999999999996</v>
      </c>
    </row>
    <row r="23" spans="1:9" x14ac:dyDescent="0.35">
      <c r="A23" t="s">
        <v>63</v>
      </c>
      <c r="B23" s="1">
        <v>45787</v>
      </c>
      <c r="C23" t="s">
        <v>23</v>
      </c>
      <c r="D23" t="s">
        <v>12</v>
      </c>
      <c r="E23" t="s">
        <v>17</v>
      </c>
      <c r="F23">
        <v>1</v>
      </c>
      <c r="G23" s="6">
        <v>1249.5899999999999</v>
      </c>
      <c r="H23" s="5">
        <v>1249.5899999999999</v>
      </c>
      <c r="I23">
        <v>3.8</v>
      </c>
    </row>
    <row r="24" spans="1:9" x14ac:dyDescent="0.35">
      <c r="A24" t="s">
        <v>65</v>
      </c>
      <c r="B24" s="1">
        <v>45978</v>
      </c>
      <c r="C24" t="s">
        <v>23</v>
      </c>
      <c r="D24" t="s">
        <v>19</v>
      </c>
      <c r="E24" t="s">
        <v>31</v>
      </c>
      <c r="F24">
        <v>10</v>
      </c>
      <c r="G24" s="6">
        <v>947.84</v>
      </c>
      <c r="H24" s="5">
        <v>9478.4</v>
      </c>
      <c r="I24">
        <v>4.3</v>
      </c>
    </row>
    <row r="25" spans="1:9" x14ac:dyDescent="0.35">
      <c r="A25" t="s">
        <v>67</v>
      </c>
      <c r="B25" s="1">
        <v>45922</v>
      </c>
      <c r="C25" t="s">
        <v>11</v>
      </c>
      <c r="D25" t="s">
        <v>24</v>
      </c>
      <c r="E25" t="s">
        <v>69</v>
      </c>
      <c r="F25">
        <v>21</v>
      </c>
      <c r="G25" s="6">
        <v>658.43</v>
      </c>
      <c r="H25" s="5">
        <v>13827.03</v>
      </c>
      <c r="I25">
        <v>4.5</v>
      </c>
    </row>
    <row r="26" spans="1:9" x14ac:dyDescent="0.35">
      <c r="A26" t="s">
        <v>70</v>
      </c>
      <c r="B26" s="1">
        <v>45729</v>
      </c>
      <c r="C26" t="s">
        <v>38</v>
      </c>
      <c r="D26" t="s">
        <v>12</v>
      </c>
      <c r="E26" t="s">
        <v>17</v>
      </c>
      <c r="F26">
        <v>21</v>
      </c>
      <c r="G26" s="6">
        <v>1483.38</v>
      </c>
      <c r="H26" s="5">
        <v>31150.98</v>
      </c>
      <c r="I26">
        <v>4.3</v>
      </c>
    </row>
    <row r="27" spans="1:9" x14ac:dyDescent="0.35">
      <c r="A27" t="s">
        <v>72</v>
      </c>
      <c r="B27" s="1">
        <v>45722</v>
      </c>
      <c r="C27" t="s">
        <v>16</v>
      </c>
      <c r="D27" t="s">
        <v>19</v>
      </c>
      <c r="E27" t="s">
        <v>28</v>
      </c>
      <c r="F27">
        <v>11</v>
      </c>
      <c r="G27" s="6">
        <v>1137.79</v>
      </c>
      <c r="H27" s="5">
        <v>12515.69</v>
      </c>
      <c r="I27">
        <v>4.9000000000000004</v>
      </c>
    </row>
    <row r="28" spans="1:9" x14ac:dyDescent="0.35">
      <c r="A28" t="s">
        <v>74</v>
      </c>
      <c r="B28" s="1">
        <v>45743</v>
      </c>
      <c r="C28" t="s">
        <v>16</v>
      </c>
      <c r="D28" t="s">
        <v>24</v>
      </c>
      <c r="E28" t="s">
        <v>25</v>
      </c>
      <c r="F28">
        <v>12</v>
      </c>
      <c r="G28" s="6">
        <v>1452.65</v>
      </c>
      <c r="H28" s="5">
        <v>17431.8</v>
      </c>
      <c r="I28">
        <v>3.5</v>
      </c>
    </row>
    <row r="29" spans="1:9" x14ac:dyDescent="0.35">
      <c r="A29" t="s">
        <v>75</v>
      </c>
      <c r="B29" s="1">
        <v>45693</v>
      </c>
      <c r="C29" t="s">
        <v>16</v>
      </c>
      <c r="D29" t="s">
        <v>12</v>
      </c>
      <c r="E29" t="s">
        <v>13</v>
      </c>
      <c r="F29">
        <v>10</v>
      </c>
      <c r="G29" s="6">
        <v>1223.71</v>
      </c>
      <c r="H29" s="5">
        <v>12237.1</v>
      </c>
      <c r="I29">
        <v>4.2</v>
      </c>
    </row>
    <row r="30" spans="1:9" x14ac:dyDescent="0.35">
      <c r="A30" t="s">
        <v>77</v>
      </c>
      <c r="B30" s="1">
        <v>45808</v>
      </c>
      <c r="C30" t="s">
        <v>11</v>
      </c>
      <c r="D30" t="s">
        <v>19</v>
      </c>
      <c r="E30" t="s">
        <v>28</v>
      </c>
      <c r="F30">
        <v>16</v>
      </c>
      <c r="G30" s="6">
        <v>969.77</v>
      </c>
      <c r="H30" s="5">
        <v>15516.32</v>
      </c>
      <c r="I30">
        <v>3.1</v>
      </c>
    </row>
    <row r="31" spans="1:9" x14ac:dyDescent="0.35">
      <c r="A31" t="s">
        <v>79</v>
      </c>
      <c r="B31" s="1">
        <v>45860</v>
      </c>
      <c r="C31" t="s">
        <v>23</v>
      </c>
      <c r="D31" t="s">
        <v>12</v>
      </c>
      <c r="E31" t="s">
        <v>17</v>
      </c>
      <c r="F31">
        <v>11</v>
      </c>
      <c r="G31" s="6">
        <v>120.88</v>
      </c>
      <c r="H31" s="5">
        <v>1329.68</v>
      </c>
      <c r="I31">
        <v>4.3</v>
      </c>
    </row>
    <row r="32" spans="1:9" x14ac:dyDescent="0.35">
      <c r="A32" t="s">
        <v>81</v>
      </c>
      <c r="B32" s="1">
        <v>45916</v>
      </c>
      <c r="C32" t="s">
        <v>23</v>
      </c>
      <c r="D32" t="s">
        <v>24</v>
      </c>
      <c r="E32" t="s">
        <v>25</v>
      </c>
      <c r="F32">
        <v>3</v>
      </c>
      <c r="G32" s="6">
        <v>542.76</v>
      </c>
      <c r="H32" s="5">
        <v>1628.28</v>
      </c>
      <c r="I32">
        <v>3.9</v>
      </c>
    </row>
    <row r="33" spans="1:9" x14ac:dyDescent="0.35">
      <c r="A33" t="s">
        <v>83</v>
      </c>
      <c r="B33" s="1">
        <v>45770</v>
      </c>
      <c r="C33" t="s">
        <v>23</v>
      </c>
      <c r="D33" t="s">
        <v>12</v>
      </c>
      <c r="E33" t="s">
        <v>13</v>
      </c>
      <c r="F33">
        <v>6</v>
      </c>
      <c r="G33" s="6">
        <v>172.45</v>
      </c>
      <c r="H33" s="5">
        <v>1034.7</v>
      </c>
      <c r="I33">
        <v>3.5</v>
      </c>
    </row>
    <row r="34" spans="1:9" x14ac:dyDescent="0.35">
      <c r="A34" t="s">
        <v>85</v>
      </c>
      <c r="B34" s="1">
        <v>45889</v>
      </c>
      <c r="C34" t="s">
        <v>23</v>
      </c>
      <c r="D34" t="s">
        <v>19</v>
      </c>
      <c r="E34" t="s">
        <v>31</v>
      </c>
      <c r="F34">
        <v>12</v>
      </c>
      <c r="G34" s="6">
        <v>304.66000000000003</v>
      </c>
      <c r="H34" s="5">
        <v>3655.92</v>
      </c>
      <c r="I34">
        <v>4.4000000000000004</v>
      </c>
    </row>
    <row r="35" spans="1:9" x14ac:dyDescent="0.35">
      <c r="A35" t="s">
        <v>86</v>
      </c>
      <c r="B35" s="1">
        <v>45665</v>
      </c>
      <c r="C35" t="s">
        <v>11</v>
      </c>
      <c r="D35" t="s">
        <v>19</v>
      </c>
      <c r="E35" t="s">
        <v>28</v>
      </c>
      <c r="F35">
        <v>25</v>
      </c>
      <c r="G35" s="6">
        <v>873.49</v>
      </c>
      <c r="H35" s="5">
        <v>21837.25</v>
      </c>
      <c r="I35">
        <v>3.6</v>
      </c>
    </row>
    <row r="36" spans="1:9" x14ac:dyDescent="0.35">
      <c r="A36" t="s">
        <v>88</v>
      </c>
      <c r="B36" s="1">
        <v>45911</v>
      </c>
      <c r="C36" t="s">
        <v>16</v>
      </c>
      <c r="D36" t="s">
        <v>12</v>
      </c>
      <c r="E36" t="s">
        <v>90</v>
      </c>
      <c r="F36">
        <v>8</v>
      </c>
      <c r="G36" s="6">
        <v>250.04</v>
      </c>
      <c r="H36" s="5">
        <v>2000.32</v>
      </c>
      <c r="I36">
        <v>4.4000000000000004</v>
      </c>
    </row>
    <row r="37" spans="1:9" x14ac:dyDescent="0.35">
      <c r="A37" t="s">
        <v>91</v>
      </c>
      <c r="B37" s="1">
        <v>46002</v>
      </c>
      <c r="C37" t="s">
        <v>16</v>
      </c>
      <c r="D37" t="s">
        <v>19</v>
      </c>
      <c r="E37" t="s">
        <v>28</v>
      </c>
      <c r="F37">
        <v>15</v>
      </c>
      <c r="G37" s="6">
        <v>1014.34</v>
      </c>
      <c r="H37" s="5">
        <v>15215.1</v>
      </c>
      <c r="I37">
        <v>5</v>
      </c>
    </row>
    <row r="38" spans="1:9" x14ac:dyDescent="0.35">
      <c r="A38" t="s">
        <v>92</v>
      </c>
      <c r="B38" s="1">
        <v>45912</v>
      </c>
      <c r="C38" t="s">
        <v>38</v>
      </c>
      <c r="D38" t="s">
        <v>12</v>
      </c>
      <c r="E38" t="s">
        <v>13</v>
      </c>
      <c r="F38">
        <v>16</v>
      </c>
      <c r="G38" s="6">
        <v>978.85</v>
      </c>
      <c r="H38" s="5">
        <v>15661.6</v>
      </c>
      <c r="I38">
        <v>4.7</v>
      </c>
    </row>
    <row r="39" spans="1:9" x14ac:dyDescent="0.35">
      <c r="A39" t="s">
        <v>94</v>
      </c>
      <c r="B39" s="1">
        <v>45673</v>
      </c>
      <c r="C39" t="s">
        <v>23</v>
      </c>
      <c r="D39" t="s">
        <v>12</v>
      </c>
      <c r="E39" t="s">
        <v>13</v>
      </c>
      <c r="F39">
        <v>8</v>
      </c>
      <c r="G39" s="6">
        <v>812.72</v>
      </c>
      <c r="H39" s="5">
        <v>6501.76</v>
      </c>
      <c r="I39">
        <v>4.4000000000000004</v>
      </c>
    </row>
    <row r="40" spans="1:9" x14ac:dyDescent="0.35">
      <c r="A40" t="s">
        <v>95</v>
      </c>
      <c r="B40" s="1">
        <v>45937</v>
      </c>
      <c r="C40" t="s">
        <v>38</v>
      </c>
      <c r="D40" t="s">
        <v>12</v>
      </c>
      <c r="E40" t="s">
        <v>17</v>
      </c>
      <c r="F40">
        <v>9</v>
      </c>
      <c r="G40" s="6">
        <v>158.94</v>
      </c>
      <c r="H40" s="5">
        <v>1430.46</v>
      </c>
      <c r="I40">
        <v>3.8</v>
      </c>
    </row>
    <row r="41" spans="1:9" x14ac:dyDescent="0.35">
      <c r="A41" t="s">
        <v>97</v>
      </c>
      <c r="B41" s="1">
        <v>45926</v>
      </c>
      <c r="C41" t="s">
        <v>38</v>
      </c>
      <c r="D41" t="s">
        <v>19</v>
      </c>
      <c r="E41" t="s">
        <v>31</v>
      </c>
      <c r="F41">
        <v>19</v>
      </c>
      <c r="G41" s="6">
        <v>1121.45</v>
      </c>
      <c r="H41" s="5">
        <v>21307.55</v>
      </c>
      <c r="I41">
        <v>4.2</v>
      </c>
    </row>
    <row r="42" spans="1:9" x14ac:dyDescent="0.35">
      <c r="A42" t="s">
        <v>98</v>
      </c>
      <c r="B42" s="1">
        <v>46022</v>
      </c>
      <c r="C42" t="s">
        <v>11</v>
      </c>
      <c r="D42" t="s">
        <v>12</v>
      </c>
      <c r="E42" t="s">
        <v>13</v>
      </c>
      <c r="F42">
        <v>25</v>
      </c>
      <c r="G42" s="6">
        <v>813.37</v>
      </c>
      <c r="H42" s="5">
        <v>20334.25</v>
      </c>
      <c r="I42">
        <v>4</v>
      </c>
    </row>
    <row r="43" spans="1:9" x14ac:dyDescent="0.35">
      <c r="A43" t="s">
        <v>100</v>
      </c>
      <c r="B43" s="1">
        <v>45938</v>
      </c>
      <c r="C43" t="s">
        <v>23</v>
      </c>
      <c r="D43" t="s">
        <v>12</v>
      </c>
      <c r="E43" t="s">
        <v>90</v>
      </c>
      <c r="F43">
        <v>24</v>
      </c>
      <c r="G43" s="6">
        <v>783.73</v>
      </c>
      <c r="H43" s="5">
        <v>18809.52</v>
      </c>
      <c r="I43">
        <v>4.7</v>
      </c>
    </row>
    <row r="44" spans="1:9" x14ac:dyDescent="0.35">
      <c r="A44" t="s">
        <v>102</v>
      </c>
      <c r="B44" s="1">
        <v>45865</v>
      </c>
      <c r="C44" t="s">
        <v>11</v>
      </c>
      <c r="D44" t="s">
        <v>12</v>
      </c>
      <c r="E44" t="s">
        <v>17</v>
      </c>
      <c r="F44">
        <v>25</v>
      </c>
      <c r="G44" s="6">
        <v>243.62</v>
      </c>
      <c r="H44" s="5">
        <v>6090.5</v>
      </c>
      <c r="I44">
        <v>3.9</v>
      </c>
    </row>
    <row r="45" spans="1:9" x14ac:dyDescent="0.35">
      <c r="A45" t="s">
        <v>104</v>
      </c>
      <c r="B45" s="1">
        <v>45735</v>
      </c>
      <c r="C45" t="s">
        <v>11</v>
      </c>
      <c r="D45" t="s">
        <v>24</v>
      </c>
      <c r="E45" t="s">
        <v>44</v>
      </c>
      <c r="F45">
        <v>5</v>
      </c>
      <c r="G45" s="6">
        <v>1333.61</v>
      </c>
      <c r="H45" s="5">
        <v>6668.05</v>
      </c>
      <c r="I45">
        <v>4.7</v>
      </c>
    </row>
    <row r="46" spans="1:9" x14ac:dyDescent="0.35">
      <c r="A46" t="s">
        <v>106</v>
      </c>
      <c r="B46" s="1">
        <v>45960</v>
      </c>
      <c r="C46" t="s">
        <v>23</v>
      </c>
      <c r="D46" t="s">
        <v>24</v>
      </c>
      <c r="E46" t="s">
        <v>44</v>
      </c>
      <c r="F46">
        <v>2</v>
      </c>
      <c r="G46" s="6">
        <v>1290.21</v>
      </c>
      <c r="H46" s="5">
        <v>2580.42</v>
      </c>
      <c r="I46">
        <v>4.3</v>
      </c>
    </row>
    <row r="47" spans="1:9" x14ac:dyDescent="0.35">
      <c r="A47" t="s">
        <v>108</v>
      </c>
      <c r="B47" s="1">
        <v>46016</v>
      </c>
      <c r="C47" t="s">
        <v>11</v>
      </c>
      <c r="D47" t="s">
        <v>19</v>
      </c>
      <c r="E47" t="s">
        <v>31</v>
      </c>
      <c r="F47">
        <v>10</v>
      </c>
      <c r="G47" s="6">
        <v>299.87</v>
      </c>
      <c r="H47" s="5">
        <v>2998.7</v>
      </c>
      <c r="I47">
        <v>4.8</v>
      </c>
    </row>
    <row r="48" spans="1:9" x14ac:dyDescent="0.35">
      <c r="A48" t="s">
        <v>110</v>
      </c>
      <c r="B48" s="1">
        <v>45960</v>
      </c>
      <c r="C48" t="s">
        <v>11</v>
      </c>
      <c r="D48" t="s">
        <v>24</v>
      </c>
      <c r="E48" t="s">
        <v>69</v>
      </c>
      <c r="F48">
        <v>3</v>
      </c>
      <c r="G48" s="6">
        <v>468.8</v>
      </c>
      <c r="H48" s="5">
        <v>1406.4</v>
      </c>
      <c r="I48">
        <v>3.3</v>
      </c>
    </row>
    <row r="49" spans="1:9" x14ac:dyDescent="0.35">
      <c r="A49" t="s">
        <v>111</v>
      </c>
      <c r="B49" s="1">
        <v>45709</v>
      </c>
      <c r="C49" t="s">
        <v>16</v>
      </c>
      <c r="D49" t="s">
        <v>24</v>
      </c>
      <c r="E49" t="s">
        <v>25</v>
      </c>
      <c r="F49">
        <v>6</v>
      </c>
      <c r="G49" s="6">
        <v>321.57</v>
      </c>
      <c r="H49" s="5">
        <v>1929.42</v>
      </c>
      <c r="I49">
        <v>3.8</v>
      </c>
    </row>
    <row r="50" spans="1:9" x14ac:dyDescent="0.35">
      <c r="A50" t="s">
        <v>113</v>
      </c>
      <c r="B50" s="1">
        <v>45706</v>
      </c>
      <c r="C50" t="s">
        <v>38</v>
      </c>
      <c r="D50" t="s">
        <v>12</v>
      </c>
      <c r="E50" t="s">
        <v>13</v>
      </c>
      <c r="F50">
        <v>12</v>
      </c>
      <c r="G50" s="6">
        <v>121.76</v>
      </c>
      <c r="H50" s="5">
        <v>1461.12</v>
      </c>
      <c r="I50">
        <v>3.3</v>
      </c>
    </row>
    <row r="51" spans="1:9" x14ac:dyDescent="0.35">
      <c r="A51" t="s">
        <v>115</v>
      </c>
      <c r="B51" s="1">
        <v>45852</v>
      </c>
      <c r="C51" t="s">
        <v>16</v>
      </c>
      <c r="D51" t="s">
        <v>12</v>
      </c>
      <c r="E51" t="s">
        <v>90</v>
      </c>
      <c r="F51">
        <v>14</v>
      </c>
      <c r="G51" s="6">
        <v>1269.8699999999999</v>
      </c>
      <c r="H51" s="5">
        <v>17778.18</v>
      </c>
      <c r="I51">
        <v>3.4</v>
      </c>
    </row>
    <row r="52" spans="1:9" x14ac:dyDescent="0.35">
      <c r="A52" t="s">
        <v>117</v>
      </c>
      <c r="B52" s="1">
        <v>45702</v>
      </c>
      <c r="C52" t="s">
        <v>38</v>
      </c>
      <c r="D52" t="s">
        <v>24</v>
      </c>
      <c r="E52" t="s">
        <v>69</v>
      </c>
      <c r="F52">
        <v>18</v>
      </c>
      <c r="G52" s="6">
        <v>414.09</v>
      </c>
      <c r="H52" s="5">
        <v>7453.62</v>
      </c>
      <c r="I52">
        <v>4.7</v>
      </c>
    </row>
    <row r="53" spans="1:9" x14ac:dyDescent="0.35">
      <c r="A53" t="s">
        <v>119</v>
      </c>
      <c r="B53" s="1">
        <v>45953</v>
      </c>
      <c r="C53" t="s">
        <v>11</v>
      </c>
      <c r="D53" t="s">
        <v>24</v>
      </c>
      <c r="E53" t="s">
        <v>44</v>
      </c>
      <c r="F53">
        <v>24</v>
      </c>
      <c r="G53" s="6">
        <v>697.51</v>
      </c>
      <c r="H53" s="5">
        <v>16740.240000000002</v>
      </c>
      <c r="I53">
        <v>3.6</v>
      </c>
    </row>
    <row r="54" spans="1:9" x14ac:dyDescent="0.35">
      <c r="A54" t="s">
        <v>121</v>
      </c>
      <c r="B54" s="1">
        <v>45944</v>
      </c>
      <c r="C54" t="s">
        <v>11</v>
      </c>
      <c r="D54" t="s">
        <v>24</v>
      </c>
      <c r="E54" t="s">
        <v>25</v>
      </c>
      <c r="F54">
        <v>15</v>
      </c>
      <c r="G54" s="6">
        <v>1334.32</v>
      </c>
      <c r="H54" s="5">
        <v>20014.8</v>
      </c>
      <c r="I54">
        <v>3.8</v>
      </c>
    </row>
    <row r="55" spans="1:9" x14ac:dyDescent="0.35">
      <c r="A55" t="s">
        <v>123</v>
      </c>
      <c r="B55" s="1">
        <v>45904</v>
      </c>
      <c r="C55" t="s">
        <v>38</v>
      </c>
      <c r="D55" t="s">
        <v>19</v>
      </c>
      <c r="E55" t="s">
        <v>28</v>
      </c>
      <c r="F55">
        <v>17</v>
      </c>
      <c r="G55" s="6">
        <v>1442.07</v>
      </c>
      <c r="H55" s="5">
        <v>24515.19</v>
      </c>
      <c r="I55">
        <v>4.5</v>
      </c>
    </row>
    <row r="56" spans="1:9" x14ac:dyDescent="0.35">
      <c r="A56" t="s">
        <v>125</v>
      </c>
      <c r="B56" s="1">
        <v>45951</v>
      </c>
      <c r="C56" t="s">
        <v>23</v>
      </c>
      <c r="D56" t="s">
        <v>24</v>
      </c>
      <c r="E56" t="s">
        <v>44</v>
      </c>
      <c r="F56">
        <v>23</v>
      </c>
      <c r="G56" s="6">
        <v>504.85</v>
      </c>
      <c r="H56" s="5">
        <v>11611.55</v>
      </c>
      <c r="I56">
        <v>4.5999999999999996</v>
      </c>
    </row>
    <row r="57" spans="1:9" x14ac:dyDescent="0.35">
      <c r="A57" t="s">
        <v>127</v>
      </c>
      <c r="B57" s="1">
        <v>45793</v>
      </c>
      <c r="C57" t="s">
        <v>16</v>
      </c>
      <c r="D57" t="s">
        <v>24</v>
      </c>
      <c r="E57" t="s">
        <v>69</v>
      </c>
      <c r="F57">
        <v>21</v>
      </c>
      <c r="G57" s="6">
        <v>318.12</v>
      </c>
      <c r="H57" s="5">
        <v>6680.52</v>
      </c>
      <c r="I57">
        <v>3.5</v>
      </c>
    </row>
    <row r="58" spans="1:9" x14ac:dyDescent="0.35">
      <c r="A58" t="s">
        <v>129</v>
      </c>
      <c r="B58" s="1">
        <v>45754</v>
      </c>
      <c r="C58" t="s">
        <v>11</v>
      </c>
      <c r="D58" t="s">
        <v>24</v>
      </c>
      <c r="E58" t="s">
        <v>44</v>
      </c>
      <c r="F58">
        <v>2</v>
      </c>
      <c r="G58" s="6">
        <v>454.24</v>
      </c>
      <c r="H58" s="5">
        <v>908.48</v>
      </c>
      <c r="I58">
        <v>4.0999999999999996</v>
      </c>
    </row>
    <row r="59" spans="1:9" x14ac:dyDescent="0.35">
      <c r="A59" t="s">
        <v>131</v>
      </c>
      <c r="B59" s="1">
        <v>45878</v>
      </c>
      <c r="C59" t="s">
        <v>23</v>
      </c>
      <c r="D59" t="s">
        <v>12</v>
      </c>
      <c r="E59" t="s">
        <v>90</v>
      </c>
      <c r="F59">
        <v>13</v>
      </c>
      <c r="G59" s="6">
        <v>1487.02</v>
      </c>
      <c r="H59" s="5">
        <v>19331.259999999998</v>
      </c>
      <c r="I59">
        <v>4.3</v>
      </c>
    </row>
    <row r="60" spans="1:9" x14ac:dyDescent="0.35">
      <c r="A60" t="s">
        <v>133</v>
      </c>
      <c r="B60" s="1">
        <v>45967</v>
      </c>
      <c r="C60" t="s">
        <v>16</v>
      </c>
      <c r="D60" t="s">
        <v>19</v>
      </c>
      <c r="E60" t="s">
        <v>28</v>
      </c>
      <c r="F60">
        <v>1</v>
      </c>
      <c r="G60" s="6">
        <v>1074.97</v>
      </c>
      <c r="H60" s="5">
        <v>1074.97</v>
      </c>
      <c r="I60">
        <v>4.9000000000000004</v>
      </c>
    </row>
    <row r="61" spans="1:9" x14ac:dyDescent="0.35">
      <c r="A61" t="s">
        <v>135</v>
      </c>
      <c r="B61" s="1">
        <v>45792</v>
      </c>
      <c r="C61" t="s">
        <v>23</v>
      </c>
      <c r="D61" t="s">
        <v>24</v>
      </c>
      <c r="E61" t="s">
        <v>25</v>
      </c>
      <c r="F61">
        <v>13</v>
      </c>
      <c r="G61" s="6">
        <v>41.43</v>
      </c>
      <c r="H61" s="5">
        <v>538.59</v>
      </c>
      <c r="I61">
        <v>4</v>
      </c>
    </row>
    <row r="62" spans="1:9" x14ac:dyDescent="0.35">
      <c r="A62" t="s">
        <v>137</v>
      </c>
      <c r="B62" s="1">
        <v>45738</v>
      </c>
      <c r="C62" t="s">
        <v>11</v>
      </c>
      <c r="D62" t="s">
        <v>19</v>
      </c>
      <c r="E62" t="s">
        <v>31</v>
      </c>
      <c r="F62">
        <v>10</v>
      </c>
      <c r="G62" s="6">
        <v>332.25</v>
      </c>
      <c r="H62" s="5">
        <v>3322.5</v>
      </c>
      <c r="I62">
        <v>3.5</v>
      </c>
    </row>
    <row r="63" spans="1:9" x14ac:dyDescent="0.35">
      <c r="A63" t="s">
        <v>139</v>
      </c>
      <c r="B63" s="1">
        <v>45856</v>
      </c>
      <c r="C63" t="s">
        <v>38</v>
      </c>
      <c r="D63" t="s">
        <v>19</v>
      </c>
      <c r="E63" t="s">
        <v>20</v>
      </c>
      <c r="F63">
        <v>20</v>
      </c>
      <c r="G63" s="6">
        <v>1447.26</v>
      </c>
      <c r="H63" s="5">
        <v>28945.200000000001</v>
      </c>
      <c r="I63">
        <v>4.2</v>
      </c>
    </row>
    <row r="64" spans="1:9" x14ac:dyDescent="0.35">
      <c r="A64" t="s">
        <v>141</v>
      </c>
      <c r="B64" s="1">
        <v>45734</v>
      </c>
      <c r="C64" t="s">
        <v>11</v>
      </c>
      <c r="D64" t="s">
        <v>12</v>
      </c>
      <c r="E64" t="s">
        <v>17</v>
      </c>
      <c r="F64">
        <v>18</v>
      </c>
      <c r="G64" s="6">
        <v>1373.71</v>
      </c>
      <c r="H64" s="5">
        <v>24726.78</v>
      </c>
      <c r="I64">
        <v>3.6</v>
      </c>
    </row>
    <row r="65" spans="1:9" x14ac:dyDescent="0.35">
      <c r="A65" t="s">
        <v>143</v>
      </c>
      <c r="B65" s="1">
        <v>45734</v>
      </c>
      <c r="C65" t="s">
        <v>38</v>
      </c>
      <c r="D65" t="s">
        <v>19</v>
      </c>
      <c r="E65" t="s">
        <v>20</v>
      </c>
      <c r="F65">
        <v>8</v>
      </c>
      <c r="G65" s="6">
        <v>890.75</v>
      </c>
      <c r="H65" s="5">
        <v>7126</v>
      </c>
      <c r="I65">
        <v>4.4000000000000004</v>
      </c>
    </row>
    <row r="66" spans="1:9" x14ac:dyDescent="0.35">
      <c r="A66" t="s">
        <v>144</v>
      </c>
      <c r="B66" s="1">
        <v>45748</v>
      </c>
      <c r="C66" t="s">
        <v>16</v>
      </c>
      <c r="D66" t="s">
        <v>19</v>
      </c>
      <c r="E66" t="s">
        <v>28</v>
      </c>
      <c r="F66">
        <v>1</v>
      </c>
      <c r="G66" s="6">
        <v>1419.72</v>
      </c>
      <c r="H66" s="5">
        <v>1419.72</v>
      </c>
      <c r="I66">
        <v>4.9000000000000004</v>
      </c>
    </row>
    <row r="67" spans="1:9" x14ac:dyDescent="0.35">
      <c r="A67" t="s">
        <v>146</v>
      </c>
      <c r="B67" s="1">
        <v>45964</v>
      </c>
      <c r="C67" t="s">
        <v>11</v>
      </c>
      <c r="D67" t="s">
        <v>24</v>
      </c>
      <c r="E67" t="s">
        <v>69</v>
      </c>
      <c r="F67">
        <v>14</v>
      </c>
      <c r="G67" s="6">
        <v>1208.0899999999999</v>
      </c>
      <c r="H67" s="5">
        <v>16913.259999999998</v>
      </c>
      <c r="I67">
        <v>3.3</v>
      </c>
    </row>
    <row r="68" spans="1:9" x14ac:dyDescent="0.35">
      <c r="A68" t="s">
        <v>148</v>
      </c>
      <c r="B68" s="1">
        <v>45996</v>
      </c>
      <c r="C68" t="s">
        <v>16</v>
      </c>
      <c r="D68" t="s">
        <v>19</v>
      </c>
      <c r="E68" t="s">
        <v>20</v>
      </c>
      <c r="F68">
        <v>5</v>
      </c>
      <c r="G68" s="6">
        <v>691.71</v>
      </c>
      <c r="H68" s="5">
        <v>3458.55</v>
      </c>
      <c r="I68">
        <v>3.4</v>
      </c>
    </row>
    <row r="69" spans="1:9" x14ac:dyDescent="0.35">
      <c r="A69" t="s">
        <v>150</v>
      </c>
      <c r="B69" s="1">
        <v>45962</v>
      </c>
      <c r="C69" t="s">
        <v>16</v>
      </c>
      <c r="D69" t="s">
        <v>19</v>
      </c>
      <c r="E69" t="s">
        <v>31</v>
      </c>
      <c r="F69">
        <v>21</v>
      </c>
      <c r="G69" s="6">
        <v>1247.31</v>
      </c>
      <c r="H69" s="5">
        <v>26193.51</v>
      </c>
      <c r="I69">
        <v>4.5999999999999996</v>
      </c>
    </row>
    <row r="70" spans="1:9" x14ac:dyDescent="0.35">
      <c r="A70" t="s">
        <v>152</v>
      </c>
      <c r="B70" s="1">
        <v>45720</v>
      </c>
      <c r="C70" t="s">
        <v>23</v>
      </c>
      <c r="D70" t="s">
        <v>19</v>
      </c>
      <c r="E70" t="s">
        <v>31</v>
      </c>
      <c r="F70">
        <v>15</v>
      </c>
      <c r="G70" s="6">
        <v>427</v>
      </c>
      <c r="H70" s="5">
        <v>6405</v>
      </c>
      <c r="I70">
        <v>4.3</v>
      </c>
    </row>
    <row r="71" spans="1:9" x14ac:dyDescent="0.35">
      <c r="A71" t="s">
        <v>154</v>
      </c>
      <c r="B71" s="1">
        <v>45859</v>
      </c>
      <c r="C71" t="s">
        <v>23</v>
      </c>
      <c r="D71" t="s">
        <v>19</v>
      </c>
      <c r="E71" t="s">
        <v>31</v>
      </c>
      <c r="F71">
        <v>18</v>
      </c>
      <c r="G71" s="6">
        <v>959.82</v>
      </c>
      <c r="H71" s="5">
        <v>17276.759999999998</v>
      </c>
      <c r="I71">
        <v>4.3</v>
      </c>
    </row>
    <row r="72" spans="1:9" x14ac:dyDescent="0.35">
      <c r="A72" t="s">
        <v>156</v>
      </c>
      <c r="B72" s="1">
        <v>45818</v>
      </c>
      <c r="C72" t="s">
        <v>11</v>
      </c>
      <c r="D72" t="s">
        <v>19</v>
      </c>
      <c r="E72" t="s">
        <v>31</v>
      </c>
      <c r="F72">
        <v>9</v>
      </c>
      <c r="G72" s="6">
        <v>365.18</v>
      </c>
      <c r="H72" s="5">
        <v>3286.62</v>
      </c>
      <c r="I72">
        <v>4.5</v>
      </c>
    </row>
    <row r="73" spans="1:9" x14ac:dyDescent="0.35">
      <c r="A73" t="s">
        <v>158</v>
      </c>
      <c r="B73" s="1">
        <v>45701</v>
      </c>
      <c r="C73" t="s">
        <v>16</v>
      </c>
      <c r="D73" t="s">
        <v>12</v>
      </c>
      <c r="E73" t="s">
        <v>13</v>
      </c>
      <c r="F73">
        <v>5</v>
      </c>
      <c r="G73" s="6">
        <v>1178.3499999999999</v>
      </c>
      <c r="H73" s="5">
        <v>5891.75</v>
      </c>
      <c r="I73">
        <v>3.4</v>
      </c>
    </row>
    <row r="74" spans="1:9" x14ac:dyDescent="0.35">
      <c r="A74" t="s">
        <v>160</v>
      </c>
      <c r="B74" s="1">
        <v>45974</v>
      </c>
      <c r="C74" t="s">
        <v>16</v>
      </c>
      <c r="D74" t="s">
        <v>12</v>
      </c>
      <c r="E74" t="s">
        <v>13</v>
      </c>
      <c r="F74">
        <v>17</v>
      </c>
      <c r="G74" s="6">
        <v>110.64</v>
      </c>
      <c r="H74" s="5">
        <v>1880.88</v>
      </c>
      <c r="I74">
        <v>4.4000000000000004</v>
      </c>
    </row>
    <row r="75" spans="1:9" x14ac:dyDescent="0.35">
      <c r="A75" t="s">
        <v>162</v>
      </c>
      <c r="B75" s="1">
        <v>45970</v>
      </c>
      <c r="C75" t="s">
        <v>38</v>
      </c>
      <c r="D75" t="s">
        <v>19</v>
      </c>
      <c r="E75" t="s">
        <v>28</v>
      </c>
      <c r="F75">
        <v>10</v>
      </c>
      <c r="G75" s="6">
        <v>705.93</v>
      </c>
      <c r="H75" s="5">
        <v>7059.3</v>
      </c>
      <c r="I75">
        <v>3.1</v>
      </c>
    </row>
    <row r="76" spans="1:9" x14ac:dyDescent="0.35">
      <c r="A76" t="s">
        <v>163</v>
      </c>
      <c r="B76" s="1">
        <v>45951</v>
      </c>
      <c r="C76" t="s">
        <v>16</v>
      </c>
      <c r="D76" t="s">
        <v>12</v>
      </c>
      <c r="E76" t="s">
        <v>17</v>
      </c>
      <c r="F76">
        <v>23</v>
      </c>
      <c r="G76" s="6">
        <v>1230.92</v>
      </c>
      <c r="H76" s="5">
        <v>28311.16</v>
      </c>
      <c r="I76">
        <v>4</v>
      </c>
    </row>
    <row r="77" spans="1:9" x14ac:dyDescent="0.35">
      <c r="A77" t="s">
        <v>164</v>
      </c>
      <c r="B77" s="1">
        <v>45752</v>
      </c>
      <c r="C77" t="s">
        <v>38</v>
      </c>
      <c r="D77" t="s">
        <v>19</v>
      </c>
      <c r="E77" t="s">
        <v>28</v>
      </c>
      <c r="F77">
        <v>12</v>
      </c>
      <c r="G77" s="6">
        <v>1334.94</v>
      </c>
      <c r="H77" s="5">
        <v>16019.28</v>
      </c>
      <c r="I77">
        <v>4.8</v>
      </c>
    </row>
    <row r="78" spans="1:9" x14ac:dyDescent="0.35">
      <c r="A78" t="s">
        <v>166</v>
      </c>
      <c r="B78" s="1">
        <v>45908</v>
      </c>
      <c r="C78" t="s">
        <v>11</v>
      </c>
      <c r="D78" t="s">
        <v>19</v>
      </c>
      <c r="E78" t="s">
        <v>28</v>
      </c>
      <c r="F78">
        <v>21</v>
      </c>
      <c r="G78" s="6">
        <v>299.58999999999997</v>
      </c>
      <c r="H78" s="5">
        <v>6291.39</v>
      </c>
      <c r="I78">
        <v>3.2</v>
      </c>
    </row>
    <row r="79" spans="1:9" x14ac:dyDescent="0.35">
      <c r="A79" t="s">
        <v>168</v>
      </c>
      <c r="B79" s="1">
        <v>45835</v>
      </c>
      <c r="C79" t="s">
        <v>38</v>
      </c>
      <c r="D79" t="s">
        <v>19</v>
      </c>
      <c r="E79" t="s">
        <v>20</v>
      </c>
      <c r="F79">
        <v>2</v>
      </c>
      <c r="G79" s="6">
        <v>250.93</v>
      </c>
      <c r="H79" s="5">
        <v>501.86</v>
      </c>
      <c r="I79">
        <v>3.9</v>
      </c>
    </row>
    <row r="80" spans="1:9" x14ac:dyDescent="0.35">
      <c r="A80" t="s">
        <v>170</v>
      </c>
      <c r="B80" s="1">
        <v>45713</v>
      </c>
      <c r="C80" t="s">
        <v>11</v>
      </c>
      <c r="D80" t="s">
        <v>12</v>
      </c>
      <c r="E80" t="s">
        <v>13</v>
      </c>
      <c r="F80">
        <v>4</v>
      </c>
      <c r="G80" s="6">
        <v>203.08</v>
      </c>
      <c r="H80" s="5">
        <v>812.32</v>
      </c>
      <c r="I80">
        <v>3.6</v>
      </c>
    </row>
    <row r="81" spans="1:9" x14ac:dyDescent="0.35">
      <c r="A81" t="s">
        <v>172</v>
      </c>
      <c r="B81" s="1">
        <v>45783</v>
      </c>
      <c r="C81" t="s">
        <v>16</v>
      </c>
      <c r="D81" t="s">
        <v>24</v>
      </c>
      <c r="E81" t="s">
        <v>25</v>
      </c>
      <c r="F81">
        <v>4</v>
      </c>
      <c r="G81" s="6">
        <v>805.54</v>
      </c>
      <c r="H81" s="5">
        <v>3222.16</v>
      </c>
      <c r="I81">
        <v>4.5</v>
      </c>
    </row>
    <row r="82" spans="1:9" x14ac:dyDescent="0.35">
      <c r="A82" t="s">
        <v>174</v>
      </c>
      <c r="B82" s="1">
        <v>45977</v>
      </c>
      <c r="C82" t="s">
        <v>23</v>
      </c>
      <c r="D82" t="s">
        <v>19</v>
      </c>
      <c r="E82" t="s">
        <v>20</v>
      </c>
      <c r="F82">
        <v>24</v>
      </c>
      <c r="G82" s="6">
        <v>482.13</v>
      </c>
      <c r="H82" s="5">
        <v>11571.12</v>
      </c>
      <c r="I82">
        <v>4.0999999999999996</v>
      </c>
    </row>
    <row r="83" spans="1:9" x14ac:dyDescent="0.35">
      <c r="A83" t="s">
        <v>176</v>
      </c>
      <c r="B83" s="1">
        <v>45812</v>
      </c>
      <c r="C83" t="s">
        <v>23</v>
      </c>
      <c r="D83" t="s">
        <v>24</v>
      </c>
      <c r="E83" t="s">
        <v>69</v>
      </c>
      <c r="F83">
        <v>21</v>
      </c>
      <c r="G83" s="6">
        <v>388.08</v>
      </c>
      <c r="H83" s="5">
        <v>8149.68</v>
      </c>
      <c r="I83">
        <v>4.9000000000000004</v>
      </c>
    </row>
    <row r="84" spans="1:9" x14ac:dyDescent="0.35">
      <c r="A84" t="s">
        <v>178</v>
      </c>
      <c r="B84" s="1">
        <v>45965</v>
      </c>
      <c r="C84" t="s">
        <v>38</v>
      </c>
      <c r="D84" t="s">
        <v>19</v>
      </c>
      <c r="E84" t="s">
        <v>20</v>
      </c>
      <c r="F84">
        <v>13</v>
      </c>
      <c r="G84" s="6">
        <v>28.16</v>
      </c>
      <c r="H84" s="5">
        <v>366.08</v>
      </c>
      <c r="I84">
        <v>3.8</v>
      </c>
    </row>
    <row r="85" spans="1:9" x14ac:dyDescent="0.35">
      <c r="A85" t="s">
        <v>180</v>
      </c>
      <c r="B85" s="1">
        <v>45810</v>
      </c>
      <c r="C85" t="s">
        <v>38</v>
      </c>
      <c r="D85" t="s">
        <v>12</v>
      </c>
      <c r="E85" t="s">
        <v>90</v>
      </c>
      <c r="F85">
        <v>14</v>
      </c>
      <c r="G85" s="6">
        <v>207.04</v>
      </c>
      <c r="H85" s="5">
        <v>2898.56</v>
      </c>
      <c r="I85">
        <v>3.7</v>
      </c>
    </row>
    <row r="86" spans="1:9" x14ac:dyDescent="0.35">
      <c r="A86" t="s">
        <v>182</v>
      </c>
      <c r="B86" s="1">
        <v>45965</v>
      </c>
      <c r="C86" t="s">
        <v>11</v>
      </c>
      <c r="D86" t="s">
        <v>12</v>
      </c>
      <c r="E86" t="s">
        <v>13</v>
      </c>
      <c r="F86">
        <v>11</v>
      </c>
      <c r="G86" s="6">
        <v>1420.87</v>
      </c>
      <c r="H86" s="5">
        <v>15629.57</v>
      </c>
      <c r="I86">
        <v>3.3</v>
      </c>
    </row>
    <row r="87" spans="1:9" x14ac:dyDescent="0.35">
      <c r="A87" t="s">
        <v>183</v>
      </c>
      <c r="B87" s="1">
        <v>45890</v>
      </c>
      <c r="C87" t="s">
        <v>11</v>
      </c>
      <c r="D87" t="s">
        <v>12</v>
      </c>
      <c r="E87" t="s">
        <v>17</v>
      </c>
      <c r="F87">
        <v>14</v>
      </c>
      <c r="G87" s="6">
        <v>243.7</v>
      </c>
      <c r="H87" s="5">
        <v>3411.8</v>
      </c>
      <c r="I87">
        <v>3.1</v>
      </c>
    </row>
    <row r="88" spans="1:9" x14ac:dyDescent="0.35">
      <c r="A88" t="s">
        <v>185</v>
      </c>
      <c r="B88" s="1">
        <v>45819</v>
      </c>
      <c r="C88" t="s">
        <v>23</v>
      </c>
      <c r="D88" t="s">
        <v>24</v>
      </c>
      <c r="E88" t="s">
        <v>25</v>
      </c>
      <c r="F88">
        <v>24</v>
      </c>
      <c r="G88" s="6">
        <v>592.42999999999995</v>
      </c>
      <c r="H88" s="5">
        <v>14218.32</v>
      </c>
      <c r="I88">
        <v>4.5999999999999996</v>
      </c>
    </row>
    <row r="89" spans="1:9" x14ac:dyDescent="0.35">
      <c r="A89" t="s">
        <v>187</v>
      </c>
      <c r="B89" s="1">
        <v>45667</v>
      </c>
      <c r="C89" t="s">
        <v>38</v>
      </c>
      <c r="D89" t="s">
        <v>12</v>
      </c>
      <c r="E89" t="s">
        <v>90</v>
      </c>
      <c r="F89">
        <v>10</v>
      </c>
      <c r="G89" s="6">
        <v>747.04</v>
      </c>
      <c r="H89" s="5">
        <v>7470.4</v>
      </c>
      <c r="I89">
        <v>4.3</v>
      </c>
    </row>
    <row r="90" spans="1:9" x14ac:dyDescent="0.35">
      <c r="A90" t="s">
        <v>189</v>
      </c>
      <c r="B90" s="1">
        <v>45668</v>
      </c>
      <c r="C90" t="s">
        <v>11</v>
      </c>
      <c r="D90" t="s">
        <v>24</v>
      </c>
      <c r="E90" t="s">
        <v>69</v>
      </c>
      <c r="F90">
        <v>13</v>
      </c>
      <c r="G90" s="6">
        <v>457.46</v>
      </c>
      <c r="H90" s="5">
        <v>5946.98</v>
      </c>
      <c r="I90">
        <v>4.7</v>
      </c>
    </row>
    <row r="91" spans="1:9" x14ac:dyDescent="0.35">
      <c r="A91" t="s">
        <v>191</v>
      </c>
      <c r="B91" s="1">
        <v>45849</v>
      </c>
      <c r="C91" t="s">
        <v>16</v>
      </c>
      <c r="D91" t="s">
        <v>24</v>
      </c>
      <c r="E91" t="s">
        <v>44</v>
      </c>
      <c r="F91">
        <v>5</v>
      </c>
      <c r="G91" s="6">
        <v>1234.33</v>
      </c>
      <c r="H91" s="5">
        <v>6171.65</v>
      </c>
      <c r="I91">
        <v>4.3</v>
      </c>
    </row>
    <row r="92" spans="1:9" x14ac:dyDescent="0.35">
      <c r="A92" t="s">
        <v>193</v>
      </c>
      <c r="B92" s="1">
        <v>45665</v>
      </c>
      <c r="C92" t="s">
        <v>11</v>
      </c>
      <c r="D92" t="s">
        <v>24</v>
      </c>
      <c r="E92" t="s">
        <v>25</v>
      </c>
      <c r="F92">
        <v>8</v>
      </c>
      <c r="G92" s="6">
        <v>920.5</v>
      </c>
      <c r="H92" s="5">
        <v>7364</v>
      </c>
      <c r="I92">
        <v>4.9000000000000004</v>
      </c>
    </row>
    <row r="93" spans="1:9" x14ac:dyDescent="0.35">
      <c r="A93" t="s">
        <v>194</v>
      </c>
      <c r="B93" s="1">
        <v>45754</v>
      </c>
      <c r="C93" t="s">
        <v>11</v>
      </c>
      <c r="D93" t="s">
        <v>24</v>
      </c>
      <c r="E93" t="s">
        <v>25</v>
      </c>
      <c r="F93">
        <v>16</v>
      </c>
      <c r="G93" s="6">
        <v>36.57</v>
      </c>
      <c r="H93" s="5">
        <v>585.12</v>
      </c>
      <c r="I93">
        <v>4.0999999999999996</v>
      </c>
    </row>
    <row r="94" spans="1:9" x14ac:dyDescent="0.35">
      <c r="A94" t="s">
        <v>195</v>
      </c>
      <c r="B94" s="1">
        <v>45903</v>
      </c>
      <c r="C94" t="s">
        <v>11</v>
      </c>
      <c r="D94" t="s">
        <v>19</v>
      </c>
      <c r="E94" t="s">
        <v>20</v>
      </c>
      <c r="F94">
        <v>10</v>
      </c>
      <c r="G94" s="6">
        <v>41.41</v>
      </c>
      <c r="H94" s="5">
        <v>414.1</v>
      </c>
      <c r="I94">
        <v>4.0999999999999996</v>
      </c>
    </row>
    <row r="95" spans="1:9" x14ac:dyDescent="0.35">
      <c r="A95" t="s">
        <v>197</v>
      </c>
      <c r="B95" s="1">
        <v>46013</v>
      </c>
      <c r="C95" t="s">
        <v>11</v>
      </c>
      <c r="D95" t="s">
        <v>24</v>
      </c>
      <c r="E95" t="s">
        <v>25</v>
      </c>
      <c r="F95">
        <v>4</v>
      </c>
      <c r="G95" s="6">
        <v>1411.16</v>
      </c>
      <c r="H95" s="5">
        <v>5644.64</v>
      </c>
      <c r="I95">
        <v>4.5</v>
      </c>
    </row>
    <row r="96" spans="1:9" x14ac:dyDescent="0.35">
      <c r="A96" t="s">
        <v>199</v>
      </c>
      <c r="B96" s="1">
        <v>45729</v>
      </c>
      <c r="C96" t="s">
        <v>16</v>
      </c>
      <c r="D96" t="s">
        <v>19</v>
      </c>
      <c r="E96" t="s">
        <v>20</v>
      </c>
      <c r="F96">
        <v>23</v>
      </c>
      <c r="G96" s="6">
        <v>1287.17</v>
      </c>
      <c r="H96" s="5">
        <v>29604.91</v>
      </c>
      <c r="I96">
        <v>4.5999999999999996</v>
      </c>
    </row>
    <row r="97" spans="1:9" x14ac:dyDescent="0.35">
      <c r="A97" t="s">
        <v>200</v>
      </c>
      <c r="B97" s="1">
        <v>45910</v>
      </c>
      <c r="C97" t="s">
        <v>23</v>
      </c>
      <c r="D97" t="s">
        <v>24</v>
      </c>
      <c r="E97" t="s">
        <v>44</v>
      </c>
      <c r="F97">
        <v>4</v>
      </c>
      <c r="G97" s="6">
        <v>625.91999999999996</v>
      </c>
      <c r="H97" s="5">
        <v>2503.6799999999998</v>
      </c>
      <c r="I97">
        <v>3.2</v>
      </c>
    </row>
    <row r="98" spans="1:9" x14ac:dyDescent="0.35">
      <c r="A98" t="s">
        <v>202</v>
      </c>
      <c r="B98" s="1">
        <v>45730</v>
      </c>
      <c r="C98" t="s">
        <v>38</v>
      </c>
      <c r="D98" t="s">
        <v>24</v>
      </c>
      <c r="E98" t="s">
        <v>44</v>
      </c>
      <c r="F98">
        <v>17</v>
      </c>
      <c r="G98" s="6">
        <v>879.12</v>
      </c>
      <c r="H98" s="5">
        <v>14945.04</v>
      </c>
      <c r="I98">
        <v>4.9000000000000004</v>
      </c>
    </row>
    <row r="99" spans="1:9" x14ac:dyDescent="0.35">
      <c r="A99" t="s">
        <v>204</v>
      </c>
      <c r="B99" s="1">
        <v>45981</v>
      </c>
      <c r="C99" t="s">
        <v>38</v>
      </c>
      <c r="D99" t="s">
        <v>19</v>
      </c>
      <c r="E99" t="s">
        <v>20</v>
      </c>
      <c r="F99">
        <v>8</v>
      </c>
      <c r="G99" s="6">
        <v>1012.99</v>
      </c>
      <c r="H99" s="5">
        <v>8103.92</v>
      </c>
      <c r="I99">
        <v>4.3</v>
      </c>
    </row>
    <row r="100" spans="1:9" x14ac:dyDescent="0.35">
      <c r="A100" t="s">
        <v>206</v>
      </c>
      <c r="B100" s="1">
        <v>45663</v>
      </c>
      <c r="C100" t="s">
        <v>16</v>
      </c>
      <c r="D100" t="s">
        <v>19</v>
      </c>
      <c r="E100" t="s">
        <v>31</v>
      </c>
      <c r="F100">
        <v>13</v>
      </c>
      <c r="G100" s="6">
        <v>569.08000000000004</v>
      </c>
      <c r="H100" s="5">
        <v>7398.04</v>
      </c>
      <c r="I100">
        <v>4.3</v>
      </c>
    </row>
    <row r="101" spans="1:9" x14ac:dyDescent="0.35">
      <c r="A101" t="s">
        <v>208</v>
      </c>
      <c r="B101" s="1">
        <v>46002</v>
      </c>
      <c r="C101" t="s">
        <v>11</v>
      </c>
      <c r="D101" t="s">
        <v>12</v>
      </c>
      <c r="E101" t="s">
        <v>17</v>
      </c>
      <c r="F101">
        <v>18</v>
      </c>
      <c r="G101" s="6">
        <v>221.76</v>
      </c>
      <c r="H101" s="5">
        <v>3991.68</v>
      </c>
      <c r="I101">
        <v>3.6</v>
      </c>
    </row>
    <row r="102" spans="1:9" x14ac:dyDescent="0.35">
      <c r="A102" t="s">
        <v>209</v>
      </c>
      <c r="B102" s="1">
        <v>45838</v>
      </c>
      <c r="C102" t="s">
        <v>23</v>
      </c>
      <c r="D102" t="s">
        <v>12</v>
      </c>
      <c r="E102" t="s">
        <v>13</v>
      </c>
      <c r="F102">
        <v>8</v>
      </c>
      <c r="G102" s="6">
        <v>1208.33</v>
      </c>
      <c r="H102" s="5">
        <v>9666.64</v>
      </c>
      <c r="I102">
        <v>3.6</v>
      </c>
    </row>
    <row r="103" spans="1:9" x14ac:dyDescent="0.35">
      <c r="A103" t="s">
        <v>211</v>
      </c>
      <c r="B103" s="1">
        <v>45857</v>
      </c>
      <c r="C103" t="s">
        <v>38</v>
      </c>
      <c r="D103" t="s">
        <v>12</v>
      </c>
      <c r="E103" t="s">
        <v>17</v>
      </c>
      <c r="F103">
        <v>19</v>
      </c>
      <c r="G103" s="6">
        <v>13.17</v>
      </c>
      <c r="H103" s="5">
        <v>250.23</v>
      </c>
      <c r="I103">
        <v>3.4</v>
      </c>
    </row>
    <row r="104" spans="1:9" x14ac:dyDescent="0.35">
      <c r="A104" t="s">
        <v>213</v>
      </c>
      <c r="B104" s="1">
        <v>45707</v>
      </c>
      <c r="C104" t="s">
        <v>16</v>
      </c>
      <c r="D104" t="s">
        <v>24</v>
      </c>
      <c r="E104" t="s">
        <v>44</v>
      </c>
      <c r="F104">
        <v>21</v>
      </c>
      <c r="G104" s="6">
        <v>1352.32</v>
      </c>
      <c r="H104" s="5">
        <v>28398.720000000001</v>
      </c>
      <c r="I104">
        <v>4.3</v>
      </c>
    </row>
    <row r="105" spans="1:9" x14ac:dyDescent="0.35">
      <c r="A105" t="s">
        <v>215</v>
      </c>
      <c r="B105" s="1">
        <v>45913</v>
      </c>
      <c r="C105" t="s">
        <v>38</v>
      </c>
      <c r="D105" t="s">
        <v>24</v>
      </c>
      <c r="E105" t="s">
        <v>25</v>
      </c>
      <c r="F105">
        <v>13</v>
      </c>
      <c r="G105" s="6">
        <v>189.57</v>
      </c>
      <c r="H105" s="5">
        <v>2464.41</v>
      </c>
      <c r="I105">
        <v>3.9</v>
      </c>
    </row>
    <row r="106" spans="1:9" x14ac:dyDescent="0.35">
      <c r="A106" t="s">
        <v>217</v>
      </c>
      <c r="B106" s="1">
        <v>45838</v>
      </c>
      <c r="C106" t="s">
        <v>38</v>
      </c>
      <c r="D106" t="s">
        <v>19</v>
      </c>
      <c r="E106" t="s">
        <v>31</v>
      </c>
      <c r="F106">
        <v>17</v>
      </c>
      <c r="G106" s="6">
        <v>475.97</v>
      </c>
      <c r="H106" s="5">
        <v>8091.49</v>
      </c>
      <c r="I106">
        <v>4.0999999999999996</v>
      </c>
    </row>
    <row r="107" spans="1:9" x14ac:dyDescent="0.35">
      <c r="A107" t="s">
        <v>218</v>
      </c>
      <c r="B107" s="1">
        <v>45771</v>
      </c>
      <c r="C107" t="s">
        <v>16</v>
      </c>
      <c r="D107" t="s">
        <v>19</v>
      </c>
      <c r="E107" t="s">
        <v>20</v>
      </c>
      <c r="F107">
        <v>17</v>
      </c>
      <c r="G107" s="6">
        <v>1345.4</v>
      </c>
      <c r="H107" s="5">
        <v>22871.8</v>
      </c>
      <c r="I107">
        <v>3.4</v>
      </c>
    </row>
    <row r="108" spans="1:9" x14ac:dyDescent="0.35">
      <c r="A108" t="s">
        <v>220</v>
      </c>
      <c r="B108" s="1">
        <v>45813</v>
      </c>
      <c r="C108" t="s">
        <v>38</v>
      </c>
      <c r="D108" t="s">
        <v>24</v>
      </c>
      <c r="E108" t="s">
        <v>44</v>
      </c>
      <c r="F108">
        <v>13</v>
      </c>
      <c r="G108" s="6">
        <v>1012.1</v>
      </c>
      <c r="H108" s="5">
        <v>13157.3</v>
      </c>
      <c r="I108">
        <v>3.2</v>
      </c>
    </row>
    <row r="109" spans="1:9" x14ac:dyDescent="0.35">
      <c r="A109" t="s">
        <v>222</v>
      </c>
      <c r="B109" s="1">
        <v>46019</v>
      </c>
      <c r="C109" t="s">
        <v>11</v>
      </c>
      <c r="D109" t="s">
        <v>24</v>
      </c>
      <c r="E109" t="s">
        <v>44</v>
      </c>
      <c r="F109">
        <v>3</v>
      </c>
      <c r="G109" s="6">
        <v>210.58</v>
      </c>
      <c r="H109" s="5">
        <v>631.74</v>
      </c>
      <c r="I109">
        <v>3.3</v>
      </c>
    </row>
    <row r="110" spans="1:9" x14ac:dyDescent="0.35">
      <c r="A110" t="s">
        <v>224</v>
      </c>
      <c r="B110" s="1">
        <v>46008</v>
      </c>
      <c r="C110" t="s">
        <v>38</v>
      </c>
      <c r="D110" t="s">
        <v>24</v>
      </c>
      <c r="E110" t="s">
        <v>25</v>
      </c>
      <c r="F110">
        <v>8</v>
      </c>
      <c r="G110" s="6">
        <v>1423.43</v>
      </c>
      <c r="H110" s="5">
        <v>11387.44</v>
      </c>
      <c r="I110">
        <v>4.3</v>
      </c>
    </row>
    <row r="111" spans="1:9" x14ac:dyDescent="0.35">
      <c r="A111" t="s">
        <v>226</v>
      </c>
      <c r="B111" s="1">
        <v>45827</v>
      </c>
      <c r="C111" t="s">
        <v>23</v>
      </c>
      <c r="D111" t="s">
        <v>24</v>
      </c>
      <c r="E111" t="s">
        <v>69</v>
      </c>
      <c r="F111">
        <v>3</v>
      </c>
      <c r="G111" s="6">
        <v>1270.83</v>
      </c>
      <c r="H111" s="5">
        <v>3812.49</v>
      </c>
      <c r="I111">
        <v>4.3</v>
      </c>
    </row>
    <row r="112" spans="1:9" x14ac:dyDescent="0.35">
      <c r="A112" t="s">
        <v>228</v>
      </c>
      <c r="B112" s="1">
        <v>45952</v>
      </c>
      <c r="C112" t="s">
        <v>11</v>
      </c>
      <c r="D112" t="s">
        <v>24</v>
      </c>
      <c r="E112" t="s">
        <v>44</v>
      </c>
      <c r="F112">
        <v>5</v>
      </c>
      <c r="G112" s="6">
        <v>38.47</v>
      </c>
      <c r="H112" s="5">
        <v>192.35</v>
      </c>
      <c r="I112">
        <v>3.8</v>
      </c>
    </row>
    <row r="113" spans="1:9" x14ac:dyDescent="0.35">
      <c r="A113" t="s">
        <v>230</v>
      </c>
      <c r="B113" s="1">
        <v>45820</v>
      </c>
      <c r="C113" t="s">
        <v>38</v>
      </c>
      <c r="D113" t="s">
        <v>19</v>
      </c>
      <c r="E113" t="s">
        <v>28</v>
      </c>
      <c r="F113">
        <v>3</v>
      </c>
      <c r="G113" s="6">
        <v>692.26</v>
      </c>
      <c r="H113" s="5">
        <v>2076.7800000000002</v>
      </c>
      <c r="I113">
        <v>3.4</v>
      </c>
    </row>
    <row r="114" spans="1:9" x14ac:dyDescent="0.35">
      <c r="A114" t="s">
        <v>232</v>
      </c>
      <c r="B114" s="1">
        <v>45973</v>
      </c>
      <c r="C114" t="s">
        <v>38</v>
      </c>
      <c r="D114" t="s">
        <v>24</v>
      </c>
      <c r="E114" t="s">
        <v>69</v>
      </c>
      <c r="F114">
        <v>22</v>
      </c>
      <c r="G114" s="6">
        <v>1037.3900000000001</v>
      </c>
      <c r="H114" s="5">
        <v>22822.58</v>
      </c>
      <c r="I114">
        <v>3.3</v>
      </c>
    </row>
    <row r="115" spans="1:9" x14ac:dyDescent="0.35">
      <c r="A115" t="s">
        <v>234</v>
      </c>
      <c r="B115" s="1">
        <v>45767</v>
      </c>
      <c r="C115" t="s">
        <v>16</v>
      </c>
      <c r="D115" t="s">
        <v>19</v>
      </c>
      <c r="E115" t="s">
        <v>31</v>
      </c>
      <c r="F115">
        <v>15</v>
      </c>
      <c r="G115" s="6">
        <v>937.65</v>
      </c>
      <c r="H115" s="5">
        <v>14064.75</v>
      </c>
      <c r="I115">
        <v>3.9</v>
      </c>
    </row>
    <row r="116" spans="1:9" x14ac:dyDescent="0.35">
      <c r="A116" t="s">
        <v>236</v>
      </c>
      <c r="B116" s="1">
        <v>45932</v>
      </c>
      <c r="C116" t="s">
        <v>16</v>
      </c>
      <c r="D116" t="s">
        <v>12</v>
      </c>
      <c r="E116" t="s">
        <v>17</v>
      </c>
      <c r="F116">
        <v>15</v>
      </c>
      <c r="G116" s="6">
        <v>1057.47</v>
      </c>
      <c r="H116" s="5">
        <v>15862.05</v>
      </c>
      <c r="I116">
        <v>3.2</v>
      </c>
    </row>
    <row r="117" spans="1:9" x14ac:dyDescent="0.35">
      <c r="A117" t="s">
        <v>238</v>
      </c>
      <c r="B117" s="1">
        <v>45848</v>
      </c>
      <c r="C117" t="s">
        <v>38</v>
      </c>
      <c r="D117" t="s">
        <v>19</v>
      </c>
      <c r="E117" t="s">
        <v>28</v>
      </c>
      <c r="F117">
        <v>7</v>
      </c>
      <c r="G117" s="6">
        <v>1379.65</v>
      </c>
      <c r="H117" s="5">
        <v>9657.5499999999993</v>
      </c>
      <c r="I117">
        <v>4.5</v>
      </c>
    </row>
    <row r="118" spans="1:9" x14ac:dyDescent="0.35">
      <c r="A118" t="s">
        <v>240</v>
      </c>
      <c r="B118" s="1">
        <v>45920</v>
      </c>
      <c r="C118" t="s">
        <v>16</v>
      </c>
      <c r="D118" t="s">
        <v>19</v>
      </c>
      <c r="E118" t="s">
        <v>28</v>
      </c>
      <c r="F118">
        <v>10</v>
      </c>
      <c r="G118" s="6">
        <v>481.13</v>
      </c>
      <c r="H118" s="5">
        <v>4811.3</v>
      </c>
      <c r="I118">
        <v>3.4</v>
      </c>
    </row>
    <row r="119" spans="1:9" x14ac:dyDescent="0.35">
      <c r="A119" t="s">
        <v>242</v>
      </c>
      <c r="B119" s="1">
        <v>45748</v>
      </c>
      <c r="C119" t="s">
        <v>11</v>
      </c>
      <c r="D119" t="s">
        <v>24</v>
      </c>
      <c r="E119" t="s">
        <v>25</v>
      </c>
      <c r="F119">
        <v>9</v>
      </c>
      <c r="G119" s="6">
        <v>460.53</v>
      </c>
      <c r="H119" s="5">
        <v>4144.7700000000004</v>
      </c>
      <c r="I119">
        <v>4.4000000000000004</v>
      </c>
    </row>
    <row r="120" spans="1:9" x14ac:dyDescent="0.35">
      <c r="A120" t="s">
        <v>243</v>
      </c>
      <c r="B120" s="1">
        <v>45971</v>
      </c>
      <c r="C120" t="s">
        <v>38</v>
      </c>
      <c r="D120" t="s">
        <v>12</v>
      </c>
      <c r="E120" t="s">
        <v>90</v>
      </c>
      <c r="F120">
        <v>22</v>
      </c>
      <c r="G120" s="6">
        <v>826.81</v>
      </c>
      <c r="H120" s="5">
        <v>18189.82</v>
      </c>
      <c r="I120">
        <v>3.1</v>
      </c>
    </row>
    <row r="121" spans="1:9" x14ac:dyDescent="0.35">
      <c r="A121" t="s">
        <v>245</v>
      </c>
      <c r="B121" s="1">
        <v>45932</v>
      </c>
      <c r="C121" t="s">
        <v>38</v>
      </c>
      <c r="D121" t="s">
        <v>12</v>
      </c>
      <c r="E121" t="s">
        <v>17</v>
      </c>
      <c r="F121">
        <v>2</v>
      </c>
      <c r="G121" s="6">
        <v>1157.54</v>
      </c>
      <c r="H121" s="5">
        <v>2315.08</v>
      </c>
      <c r="I121">
        <v>4</v>
      </c>
    </row>
    <row r="122" spans="1:9" x14ac:dyDescent="0.35">
      <c r="A122" t="s">
        <v>246</v>
      </c>
      <c r="B122" s="1">
        <v>45944</v>
      </c>
      <c r="C122" t="s">
        <v>23</v>
      </c>
      <c r="D122" t="s">
        <v>19</v>
      </c>
      <c r="E122" t="s">
        <v>28</v>
      </c>
      <c r="F122">
        <v>25</v>
      </c>
      <c r="G122" s="6">
        <v>1368.72</v>
      </c>
      <c r="H122" s="5">
        <v>34218</v>
      </c>
      <c r="I122">
        <v>4.8</v>
      </c>
    </row>
    <row r="123" spans="1:9" x14ac:dyDescent="0.35">
      <c r="A123" t="s">
        <v>247</v>
      </c>
      <c r="B123" s="1">
        <v>45661</v>
      </c>
      <c r="C123" t="s">
        <v>11</v>
      </c>
      <c r="D123" t="s">
        <v>19</v>
      </c>
      <c r="E123" t="s">
        <v>31</v>
      </c>
      <c r="F123">
        <v>15</v>
      </c>
      <c r="G123" s="6">
        <v>1395.86</v>
      </c>
      <c r="H123" s="5">
        <v>20937.900000000001</v>
      </c>
      <c r="I123">
        <v>3.5</v>
      </c>
    </row>
    <row r="124" spans="1:9" x14ac:dyDescent="0.35">
      <c r="A124" t="s">
        <v>249</v>
      </c>
      <c r="B124" s="1">
        <v>45661</v>
      </c>
      <c r="C124" t="s">
        <v>16</v>
      </c>
      <c r="D124" t="s">
        <v>24</v>
      </c>
      <c r="E124" t="s">
        <v>25</v>
      </c>
      <c r="F124">
        <v>13</v>
      </c>
      <c r="G124" s="6">
        <v>653.11</v>
      </c>
      <c r="H124" s="5">
        <v>8490.43</v>
      </c>
      <c r="I124">
        <v>3.6</v>
      </c>
    </row>
    <row r="125" spans="1:9" x14ac:dyDescent="0.35">
      <c r="A125" t="s">
        <v>250</v>
      </c>
      <c r="B125" s="1">
        <v>46016</v>
      </c>
      <c r="C125" t="s">
        <v>23</v>
      </c>
      <c r="D125" t="s">
        <v>19</v>
      </c>
      <c r="E125" t="s">
        <v>20</v>
      </c>
      <c r="F125">
        <v>8</v>
      </c>
      <c r="G125" s="6">
        <v>1179.9100000000001</v>
      </c>
      <c r="H125" s="5">
        <v>9439.2800000000007</v>
      </c>
      <c r="I125">
        <v>4.5</v>
      </c>
    </row>
    <row r="126" spans="1:9" x14ac:dyDescent="0.35">
      <c r="A126" t="s">
        <v>251</v>
      </c>
      <c r="B126" s="1">
        <v>45772</v>
      </c>
      <c r="C126" t="s">
        <v>16</v>
      </c>
      <c r="D126" t="s">
        <v>19</v>
      </c>
      <c r="E126" t="s">
        <v>31</v>
      </c>
      <c r="F126">
        <v>8</v>
      </c>
      <c r="G126" s="6">
        <v>1200.24</v>
      </c>
      <c r="H126" s="5">
        <v>9601.92</v>
      </c>
      <c r="I126">
        <v>5</v>
      </c>
    </row>
    <row r="127" spans="1:9" x14ac:dyDescent="0.35">
      <c r="A127" t="s">
        <v>253</v>
      </c>
      <c r="B127" s="1">
        <v>45820</v>
      </c>
      <c r="C127" t="s">
        <v>23</v>
      </c>
      <c r="D127" t="s">
        <v>24</v>
      </c>
      <c r="E127" t="s">
        <v>25</v>
      </c>
      <c r="F127">
        <v>17</v>
      </c>
      <c r="G127" s="6">
        <v>1076.4100000000001</v>
      </c>
      <c r="H127" s="5">
        <v>18298.97</v>
      </c>
      <c r="I127">
        <v>3.1</v>
      </c>
    </row>
    <row r="128" spans="1:9" x14ac:dyDescent="0.35">
      <c r="A128" t="s">
        <v>254</v>
      </c>
      <c r="B128" s="1">
        <v>45954</v>
      </c>
      <c r="C128" t="s">
        <v>16</v>
      </c>
      <c r="D128" t="s">
        <v>24</v>
      </c>
      <c r="E128" t="s">
        <v>44</v>
      </c>
      <c r="F128">
        <v>9</v>
      </c>
      <c r="G128" s="6">
        <v>719.34</v>
      </c>
      <c r="H128" s="5">
        <v>6474.06</v>
      </c>
      <c r="I128">
        <v>4.5999999999999996</v>
      </c>
    </row>
    <row r="129" spans="1:9" x14ac:dyDescent="0.35">
      <c r="A129" t="s">
        <v>256</v>
      </c>
      <c r="B129" s="1">
        <v>45919</v>
      </c>
      <c r="C129" t="s">
        <v>23</v>
      </c>
      <c r="D129" t="s">
        <v>12</v>
      </c>
      <c r="E129" t="s">
        <v>13</v>
      </c>
      <c r="F129">
        <v>11</v>
      </c>
      <c r="G129" s="6">
        <v>50.29</v>
      </c>
      <c r="H129" s="5">
        <v>553.19000000000005</v>
      </c>
      <c r="I129">
        <v>4.0999999999999996</v>
      </c>
    </row>
    <row r="130" spans="1:9" x14ac:dyDescent="0.35">
      <c r="A130" t="s">
        <v>258</v>
      </c>
      <c r="B130" s="1">
        <v>45679</v>
      </c>
      <c r="C130" t="s">
        <v>16</v>
      </c>
      <c r="D130" t="s">
        <v>12</v>
      </c>
      <c r="E130" t="s">
        <v>13</v>
      </c>
      <c r="F130">
        <v>1</v>
      </c>
      <c r="G130" s="6">
        <v>699.63</v>
      </c>
      <c r="H130" s="5">
        <v>699.63</v>
      </c>
      <c r="I130">
        <v>4.0999999999999996</v>
      </c>
    </row>
    <row r="131" spans="1:9" x14ac:dyDescent="0.35">
      <c r="A131" t="s">
        <v>260</v>
      </c>
      <c r="B131" s="1">
        <v>45679</v>
      </c>
      <c r="C131" t="s">
        <v>16</v>
      </c>
      <c r="D131" t="s">
        <v>19</v>
      </c>
      <c r="E131" t="s">
        <v>20</v>
      </c>
      <c r="F131">
        <v>19</v>
      </c>
      <c r="G131" s="6">
        <v>468.11</v>
      </c>
      <c r="H131" s="5">
        <v>8894.09</v>
      </c>
      <c r="I131">
        <v>4</v>
      </c>
    </row>
    <row r="132" spans="1:9" x14ac:dyDescent="0.35">
      <c r="A132" t="s">
        <v>261</v>
      </c>
      <c r="B132" s="1">
        <v>45979</v>
      </c>
      <c r="C132" t="s">
        <v>23</v>
      </c>
      <c r="D132" t="s">
        <v>24</v>
      </c>
      <c r="E132" t="s">
        <v>69</v>
      </c>
      <c r="F132">
        <v>14</v>
      </c>
      <c r="G132" s="6">
        <v>1021.94</v>
      </c>
      <c r="H132" s="5">
        <v>14307.16</v>
      </c>
      <c r="I132">
        <v>4.7</v>
      </c>
    </row>
    <row r="133" spans="1:9" x14ac:dyDescent="0.35">
      <c r="A133" t="s">
        <v>263</v>
      </c>
      <c r="B133" s="1">
        <v>45671</v>
      </c>
      <c r="C133" t="s">
        <v>11</v>
      </c>
      <c r="D133" t="s">
        <v>24</v>
      </c>
      <c r="E133" t="s">
        <v>44</v>
      </c>
      <c r="F133">
        <v>25</v>
      </c>
      <c r="G133" s="6">
        <v>1383.88</v>
      </c>
      <c r="H133" s="5">
        <v>34597</v>
      </c>
      <c r="I133">
        <v>3.4</v>
      </c>
    </row>
    <row r="134" spans="1:9" x14ac:dyDescent="0.35">
      <c r="A134" t="s">
        <v>265</v>
      </c>
      <c r="B134" s="1">
        <v>45892</v>
      </c>
      <c r="C134" t="s">
        <v>16</v>
      </c>
      <c r="D134" t="s">
        <v>12</v>
      </c>
      <c r="E134" t="s">
        <v>90</v>
      </c>
      <c r="F134">
        <v>24</v>
      </c>
      <c r="G134" s="6">
        <v>503.77</v>
      </c>
      <c r="H134" s="5">
        <v>12090.48</v>
      </c>
      <c r="I134">
        <v>4.2</v>
      </c>
    </row>
    <row r="135" spans="1:9" x14ac:dyDescent="0.35">
      <c r="A135" t="s">
        <v>267</v>
      </c>
      <c r="B135" s="1">
        <v>45964</v>
      </c>
      <c r="C135" t="s">
        <v>11</v>
      </c>
      <c r="D135" t="s">
        <v>24</v>
      </c>
      <c r="E135" t="s">
        <v>25</v>
      </c>
      <c r="F135">
        <v>25</v>
      </c>
      <c r="G135" s="6">
        <v>1020.2</v>
      </c>
      <c r="H135" s="5">
        <v>25505</v>
      </c>
      <c r="I135">
        <v>3.3</v>
      </c>
    </row>
    <row r="136" spans="1:9" x14ac:dyDescent="0.35">
      <c r="A136" t="s">
        <v>268</v>
      </c>
      <c r="B136" s="1">
        <v>45944</v>
      </c>
      <c r="C136" t="s">
        <v>38</v>
      </c>
      <c r="D136" t="s">
        <v>19</v>
      </c>
      <c r="E136" t="s">
        <v>31</v>
      </c>
      <c r="F136">
        <v>8</v>
      </c>
      <c r="G136" s="6">
        <v>1376.86</v>
      </c>
      <c r="H136" s="5">
        <v>11014.88</v>
      </c>
      <c r="I136">
        <v>3.9</v>
      </c>
    </row>
    <row r="137" spans="1:9" x14ac:dyDescent="0.35">
      <c r="A137" t="s">
        <v>269</v>
      </c>
      <c r="B137" s="1">
        <v>45701</v>
      </c>
      <c r="C137" t="s">
        <v>23</v>
      </c>
      <c r="D137" t="s">
        <v>19</v>
      </c>
      <c r="E137" t="s">
        <v>28</v>
      </c>
      <c r="F137">
        <v>14</v>
      </c>
      <c r="G137" s="6">
        <v>1078.46</v>
      </c>
      <c r="H137" s="5">
        <v>15098.44</v>
      </c>
      <c r="I137">
        <v>3.4</v>
      </c>
    </row>
    <row r="138" spans="1:9" x14ac:dyDescent="0.35">
      <c r="A138" t="s">
        <v>270</v>
      </c>
      <c r="B138" s="1">
        <v>45734</v>
      </c>
      <c r="C138" t="s">
        <v>11</v>
      </c>
      <c r="D138" t="s">
        <v>19</v>
      </c>
      <c r="E138" t="s">
        <v>31</v>
      </c>
      <c r="F138">
        <v>19</v>
      </c>
      <c r="G138" s="6">
        <v>698.67</v>
      </c>
      <c r="H138" s="5">
        <v>13274.73</v>
      </c>
      <c r="I138">
        <v>3.1</v>
      </c>
    </row>
    <row r="139" spans="1:9" x14ac:dyDescent="0.35">
      <c r="A139" t="s">
        <v>271</v>
      </c>
      <c r="B139" s="1">
        <v>45662</v>
      </c>
      <c r="C139" t="s">
        <v>23</v>
      </c>
      <c r="D139" t="s">
        <v>24</v>
      </c>
      <c r="E139" t="s">
        <v>25</v>
      </c>
      <c r="F139">
        <v>19</v>
      </c>
      <c r="G139" s="6">
        <v>738.52</v>
      </c>
      <c r="H139" s="5">
        <v>14031.88</v>
      </c>
      <c r="I139">
        <v>3.7</v>
      </c>
    </row>
    <row r="140" spans="1:9" x14ac:dyDescent="0.35">
      <c r="A140" t="s">
        <v>273</v>
      </c>
      <c r="B140" s="1">
        <v>45921</v>
      </c>
      <c r="C140" t="s">
        <v>23</v>
      </c>
      <c r="D140" t="s">
        <v>24</v>
      </c>
      <c r="E140" t="s">
        <v>25</v>
      </c>
      <c r="F140">
        <v>23</v>
      </c>
      <c r="G140" s="6">
        <v>114.38</v>
      </c>
      <c r="H140" s="5">
        <v>2630.74</v>
      </c>
      <c r="I140">
        <v>4.8</v>
      </c>
    </row>
    <row r="141" spans="1:9" x14ac:dyDescent="0.35">
      <c r="A141" t="s">
        <v>275</v>
      </c>
      <c r="B141" s="1">
        <v>45671</v>
      </c>
      <c r="C141" t="s">
        <v>23</v>
      </c>
      <c r="D141" t="s">
        <v>12</v>
      </c>
      <c r="E141" t="s">
        <v>17</v>
      </c>
      <c r="F141">
        <v>4</v>
      </c>
      <c r="G141" s="6">
        <v>1085.96</v>
      </c>
      <c r="H141" s="5">
        <v>4343.84</v>
      </c>
      <c r="I141">
        <v>4.0999999999999996</v>
      </c>
    </row>
    <row r="142" spans="1:9" x14ac:dyDescent="0.35">
      <c r="A142" t="s">
        <v>276</v>
      </c>
      <c r="B142" s="1">
        <v>45883</v>
      </c>
      <c r="C142" t="s">
        <v>38</v>
      </c>
      <c r="D142" t="s">
        <v>19</v>
      </c>
      <c r="E142" t="s">
        <v>28</v>
      </c>
      <c r="F142">
        <v>19</v>
      </c>
      <c r="G142" s="6">
        <v>909.91</v>
      </c>
      <c r="H142" s="5">
        <v>17288.29</v>
      </c>
      <c r="I142">
        <v>3.2</v>
      </c>
    </row>
    <row r="143" spans="1:9" x14ac:dyDescent="0.35">
      <c r="A143" t="s">
        <v>278</v>
      </c>
      <c r="B143" s="1">
        <v>45779</v>
      </c>
      <c r="C143" t="s">
        <v>23</v>
      </c>
      <c r="D143" t="s">
        <v>12</v>
      </c>
      <c r="E143" t="s">
        <v>90</v>
      </c>
      <c r="F143">
        <v>22</v>
      </c>
      <c r="G143" s="6">
        <v>888.58</v>
      </c>
      <c r="H143" s="5">
        <v>19548.759999999998</v>
      </c>
      <c r="I143">
        <v>3.9</v>
      </c>
    </row>
    <row r="144" spans="1:9" x14ac:dyDescent="0.35">
      <c r="A144" t="s">
        <v>280</v>
      </c>
      <c r="B144" s="1">
        <v>45875</v>
      </c>
      <c r="C144" t="s">
        <v>38</v>
      </c>
      <c r="D144" t="s">
        <v>12</v>
      </c>
      <c r="E144" t="s">
        <v>90</v>
      </c>
      <c r="F144">
        <v>11</v>
      </c>
      <c r="G144" s="6">
        <v>266.70999999999998</v>
      </c>
      <c r="H144" s="5">
        <v>2933.81</v>
      </c>
      <c r="I144">
        <v>3.5</v>
      </c>
    </row>
    <row r="145" spans="1:9" x14ac:dyDescent="0.35">
      <c r="A145" t="s">
        <v>282</v>
      </c>
      <c r="B145" s="1">
        <v>45876</v>
      </c>
      <c r="C145" t="s">
        <v>11</v>
      </c>
      <c r="D145" t="s">
        <v>19</v>
      </c>
      <c r="E145" t="s">
        <v>31</v>
      </c>
      <c r="F145">
        <v>7</v>
      </c>
      <c r="G145" s="6">
        <v>1403.71</v>
      </c>
      <c r="H145" s="5">
        <v>9825.9699999999993</v>
      </c>
      <c r="I145">
        <v>4.8</v>
      </c>
    </row>
    <row r="146" spans="1:9" x14ac:dyDescent="0.35">
      <c r="A146" t="s">
        <v>283</v>
      </c>
      <c r="B146" s="1">
        <v>45870</v>
      </c>
      <c r="C146" t="s">
        <v>38</v>
      </c>
      <c r="D146" t="s">
        <v>24</v>
      </c>
      <c r="E146" t="s">
        <v>44</v>
      </c>
      <c r="F146">
        <v>9</v>
      </c>
      <c r="G146" s="6">
        <v>289.07</v>
      </c>
      <c r="H146" s="5">
        <v>2601.63</v>
      </c>
      <c r="I146">
        <v>4.3</v>
      </c>
    </row>
    <row r="147" spans="1:9" x14ac:dyDescent="0.35">
      <c r="A147" t="s">
        <v>285</v>
      </c>
      <c r="B147" s="1">
        <v>45993</v>
      </c>
      <c r="C147" t="s">
        <v>23</v>
      </c>
      <c r="D147" t="s">
        <v>24</v>
      </c>
      <c r="E147" t="s">
        <v>44</v>
      </c>
      <c r="F147">
        <v>5</v>
      </c>
      <c r="G147" s="6">
        <v>1050.53</v>
      </c>
      <c r="H147" s="5">
        <v>5252.65</v>
      </c>
      <c r="I147">
        <v>4.0999999999999996</v>
      </c>
    </row>
    <row r="148" spans="1:9" x14ac:dyDescent="0.35">
      <c r="A148" t="s">
        <v>287</v>
      </c>
      <c r="B148" s="1">
        <v>45837</v>
      </c>
      <c r="C148" t="s">
        <v>11</v>
      </c>
      <c r="D148" t="s">
        <v>19</v>
      </c>
      <c r="E148" t="s">
        <v>31</v>
      </c>
      <c r="F148">
        <v>24</v>
      </c>
      <c r="G148" s="6">
        <v>1185.29</v>
      </c>
      <c r="H148" s="5">
        <v>28446.959999999999</v>
      </c>
      <c r="I148">
        <v>4</v>
      </c>
    </row>
    <row r="149" spans="1:9" x14ac:dyDescent="0.35">
      <c r="A149" t="s">
        <v>289</v>
      </c>
      <c r="B149" s="1">
        <v>45978</v>
      </c>
      <c r="C149" t="s">
        <v>16</v>
      </c>
      <c r="D149" t="s">
        <v>24</v>
      </c>
      <c r="E149" t="s">
        <v>44</v>
      </c>
      <c r="F149">
        <v>15</v>
      </c>
      <c r="G149" s="6">
        <v>875.61</v>
      </c>
      <c r="H149" s="5">
        <v>13134.15</v>
      </c>
      <c r="I149">
        <v>4.9000000000000004</v>
      </c>
    </row>
    <row r="150" spans="1:9" x14ac:dyDescent="0.35">
      <c r="A150" t="s">
        <v>290</v>
      </c>
      <c r="B150" s="1">
        <v>45893</v>
      </c>
      <c r="C150" t="s">
        <v>38</v>
      </c>
      <c r="D150" t="s">
        <v>19</v>
      </c>
      <c r="E150" t="s">
        <v>31</v>
      </c>
      <c r="F150">
        <v>14</v>
      </c>
      <c r="G150" s="6">
        <v>1399.68</v>
      </c>
      <c r="H150" s="5">
        <v>19595.52</v>
      </c>
      <c r="I150">
        <v>4.4000000000000004</v>
      </c>
    </row>
    <row r="151" spans="1:9" x14ac:dyDescent="0.35">
      <c r="A151" t="s">
        <v>292</v>
      </c>
      <c r="B151" s="1">
        <v>45999</v>
      </c>
      <c r="C151" t="s">
        <v>11</v>
      </c>
      <c r="D151" t="s">
        <v>24</v>
      </c>
      <c r="E151" t="s">
        <v>25</v>
      </c>
      <c r="F151">
        <v>5</v>
      </c>
      <c r="G151" s="6">
        <v>34.200000000000003</v>
      </c>
      <c r="H151" s="5">
        <v>171</v>
      </c>
      <c r="I151">
        <v>4.0999999999999996</v>
      </c>
    </row>
    <row r="152" spans="1:9" x14ac:dyDescent="0.35">
      <c r="A152" t="s">
        <v>294</v>
      </c>
      <c r="B152" s="1">
        <v>45885</v>
      </c>
      <c r="C152" t="s">
        <v>11</v>
      </c>
      <c r="D152" t="s">
        <v>19</v>
      </c>
      <c r="E152" t="s">
        <v>20</v>
      </c>
      <c r="F152">
        <v>21</v>
      </c>
      <c r="G152" s="6">
        <v>1134.06</v>
      </c>
      <c r="H152" s="5">
        <v>23815.26</v>
      </c>
      <c r="I152">
        <v>3</v>
      </c>
    </row>
    <row r="153" spans="1:9" x14ac:dyDescent="0.35">
      <c r="A153" t="s">
        <v>296</v>
      </c>
      <c r="B153" s="1">
        <v>45833</v>
      </c>
      <c r="C153" t="s">
        <v>38</v>
      </c>
      <c r="D153" t="s">
        <v>19</v>
      </c>
      <c r="E153" t="s">
        <v>28</v>
      </c>
      <c r="F153">
        <v>23</v>
      </c>
      <c r="G153" s="6">
        <v>381.86</v>
      </c>
      <c r="H153" s="5">
        <v>8782.7800000000007</v>
      </c>
      <c r="I153">
        <v>4.2</v>
      </c>
    </row>
    <row r="154" spans="1:9" x14ac:dyDescent="0.35">
      <c r="A154" t="s">
        <v>298</v>
      </c>
      <c r="B154" s="1">
        <v>45813</v>
      </c>
      <c r="C154" t="s">
        <v>38</v>
      </c>
      <c r="D154" t="s">
        <v>19</v>
      </c>
      <c r="E154" t="s">
        <v>28</v>
      </c>
      <c r="F154">
        <v>15</v>
      </c>
      <c r="G154" s="6">
        <v>40.880000000000003</v>
      </c>
      <c r="H154" s="5">
        <v>613.20000000000005</v>
      </c>
      <c r="I154">
        <v>3.7</v>
      </c>
    </row>
    <row r="155" spans="1:9" x14ac:dyDescent="0.35">
      <c r="A155" t="s">
        <v>299</v>
      </c>
      <c r="B155" s="1">
        <v>45730</v>
      </c>
      <c r="C155" t="s">
        <v>11</v>
      </c>
      <c r="D155" t="s">
        <v>12</v>
      </c>
      <c r="E155" t="s">
        <v>17</v>
      </c>
      <c r="F155">
        <v>15</v>
      </c>
      <c r="G155" s="6">
        <v>1417.34</v>
      </c>
      <c r="H155" s="5">
        <v>21260.1</v>
      </c>
      <c r="I155">
        <v>3.4</v>
      </c>
    </row>
    <row r="156" spans="1:9" x14ac:dyDescent="0.35">
      <c r="A156" t="s">
        <v>300</v>
      </c>
      <c r="B156" s="1">
        <v>45846</v>
      </c>
      <c r="C156" t="s">
        <v>38</v>
      </c>
      <c r="D156" t="s">
        <v>19</v>
      </c>
      <c r="E156" t="s">
        <v>28</v>
      </c>
      <c r="F156">
        <v>5</v>
      </c>
      <c r="G156" s="6">
        <v>1119.58</v>
      </c>
      <c r="H156" s="5">
        <v>5597.9</v>
      </c>
      <c r="I156">
        <v>4.7</v>
      </c>
    </row>
    <row r="157" spans="1:9" x14ac:dyDescent="0.35">
      <c r="A157" t="s">
        <v>302</v>
      </c>
      <c r="B157" s="1">
        <v>45915</v>
      </c>
      <c r="C157" t="s">
        <v>11</v>
      </c>
      <c r="D157" t="s">
        <v>12</v>
      </c>
      <c r="E157" t="s">
        <v>90</v>
      </c>
      <c r="F157">
        <v>9</v>
      </c>
      <c r="G157" s="6">
        <v>906.33</v>
      </c>
      <c r="H157" s="5">
        <v>8156.97</v>
      </c>
      <c r="I157">
        <v>4</v>
      </c>
    </row>
    <row r="158" spans="1:9" x14ac:dyDescent="0.35">
      <c r="A158" t="s">
        <v>304</v>
      </c>
      <c r="B158" s="1">
        <v>45985</v>
      </c>
      <c r="C158" t="s">
        <v>38</v>
      </c>
      <c r="D158" t="s">
        <v>24</v>
      </c>
      <c r="E158" t="s">
        <v>44</v>
      </c>
      <c r="F158">
        <v>11</v>
      </c>
      <c r="G158" s="6">
        <v>111.82</v>
      </c>
      <c r="H158" s="5">
        <v>1230.02</v>
      </c>
      <c r="I158">
        <v>3.2</v>
      </c>
    </row>
    <row r="159" spans="1:9" x14ac:dyDescent="0.35">
      <c r="A159" t="s">
        <v>306</v>
      </c>
      <c r="B159" s="1">
        <v>45961</v>
      </c>
      <c r="C159" t="s">
        <v>38</v>
      </c>
      <c r="D159" t="s">
        <v>19</v>
      </c>
      <c r="E159" t="s">
        <v>20</v>
      </c>
      <c r="F159">
        <v>9</v>
      </c>
      <c r="G159" s="6">
        <v>263.04000000000002</v>
      </c>
      <c r="H159" s="5">
        <v>2367.36</v>
      </c>
      <c r="I159">
        <v>3</v>
      </c>
    </row>
    <row r="160" spans="1:9" x14ac:dyDescent="0.35">
      <c r="A160" t="s">
        <v>307</v>
      </c>
      <c r="B160" s="1">
        <v>46007</v>
      </c>
      <c r="C160" t="s">
        <v>38</v>
      </c>
      <c r="D160" t="s">
        <v>12</v>
      </c>
      <c r="E160" t="s">
        <v>90</v>
      </c>
      <c r="F160">
        <v>19</v>
      </c>
      <c r="G160" s="6">
        <v>1293.71</v>
      </c>
      <c r="H160" s="5">
        <v>24580.49</v>
      </c>
      <c r="I160">
        <v>3.8</v>
      </c>
    </row>
    <row r="161" spans="1:9" x14ac:dyDescent="0.35">
      <c r="A161" t="s">
        <v>309</v>
      </c>
      <c r="B161" s="1">
        <v>45755</v>
      </c>
      <c r="C161" t="s">
        <v>16</v>
      </c>
      <c r="D161" t="s">
        <v>19</v>
      </c>
      <c r="E161" t="s">
        <v>31</v>
      </c>
      <c r="F161">
        <v>22</v>
      </c>
      <c r="G161" s="6">
        <v>730.35</v>
      </c>
      <c r="H161" s="5">
        <v>16067.7</v>
      </c>
      <c r="I161">
        <v>4.9000000000000004</v>
      </c>
    </row>
    <row r="162" spans="1:9" x14ac:dyDescent="0.35">
      <c r="A162" t="s">
        <v>311</v>
      </c>
      <c r="B162" s="1">
        <v>45988</v>
      </c>
      <c r="C162" t="s">
        <v>16</v>
      </c>
      <c r="D162" t="s">
        <v>19</v>
      </c>
      <c r="E162" t="s">
        <v>28</v>
      </c>
      <c r="F162">
        <v>3</v>
      </c>
      <c r="G162" s="6">
        <v>1253.42</v>
      </c>
      <c r="H162" s="5">
        <v>3760.26</v>
      </c>
      <c r="I162">
        <v>4.2</v>
      </c>
    </row>
    <row r="163" spans="1:9" x14ac:dyDescent="0.35">
      <c r="A163" t="s">
        <v>313</v>
      </c>
      <c r="B163" s="1">
        <v>45876</v>
      </c>
      <c r="C163" t="s">
        <v>16</v>
      </c>
      <c r="D163" t="s">
        <v>12</v>
      </c>
      <c r="E163" t="s">
        <v>90</v>
      </c>
      <c r="F163">
        <v>7</v>
      </c>
      <c r="G163" s="6">
        <v>174.82</v>
      </c>
      <c r="H163" s="5">
        <v>1223.74</v>
      </c>
      <c r="I163">
        <v>3.1</v>
      </c>
    </row>
    <row r="164" spans="1:9" x14ac:dyDescent="0.35">
      <c r="A164" t="s">
        <v>314</v>
      </c>
      <c r="B164" s="1">
        <v>45795</v>
      </c>
      <c r="C164" t="s">
        <v>11</v>
      </c>
      <c r="D164" t="s">
        <v>12</v>
      </c>
      <c r="E164" t="s">
        <v>90</v>
      </c>
      <c r="F164">
        <v>12</v>
      </c>
      <c r="G164" s="6">
        <v>948.62</v>
      </c>
      <c r="H164" s="5">
        <v>11383.44</v>
      </c>
      <c r="I164">
        <v>4.7</v>
      </c>
    </row>
    <row r="165" spans="1:9" x14ac:dyDescent="0.35">
      <c r="A165" t="s">
        <v>316</v>
      </c>
      <c r="B165" s="1">
        <v>45839</v>
      </c>
      <c r="C165" t="s">
        <v>38</v>
      </c>
      <c r="D165" t="s">
        <v>19</v>
      </c>
      <c r="E165" t="s">
        <v>28</v>
      </c>
      <c r="F165">
        <v>1</v>
      </c>
      <c r="G165" s="6">
        <v>239.39</v>
      </c>
      <c r="H165" s="5">
        <v>239.39</v>
      </c>
      <c r="I165">
        <v>4.3</v>
      </c>
    </row>
    <row r="166" spans="1:9" x14ac:dyDescent="0.35">
      <c r="A166" t="s">
        <v>318</v>
      </c>
      <c r="B166" s="1">
        <v>45829</v>
      </c>
      <c r="C166" t="s">
        <v>16</v>
      </c>
      <c r="D166" t="s">
        <v>12</v>
      </c>
      <c r="E166" t="s">
        <v>13</v>
      </c>
      <c r="F166">
        <v>8</v>
      </c>
      <c r="G166" s="6">
        <v>681.86</v>
      </c>
      <c r="H166" s="5">
        <v>5454.88</v>
      </c>
      <c r="I166">
        <v>4.2</v>
      </c>
    </row>
    <row r="167" spans="1:9" x14ac:dyDescent="0.35">
      <c r="A167" t="s">
        <v>320</v>
      </c>
      <c r="B167" s="1">
        <v>45836</v>
      </c>
      <c r="C167" t="s">
        <v>16</v>
      </c>
      <c r="D167" t="s">
        <v>24</v>
      </c>
      <c r="E167" t="s">
        <v>25</v>
      </c>
      <c r="F167">
        <v>15</v>
      </c>
      <c r="G167" s="6">
        <v>223.72</v>
      </c>
      <c r="H167" s="5">
        <v>3355.8</v>
      </c>
      <c r="I167">
        <v>4.7</v>
      </c>
    </row>
    <row r="168" spans="1:9" x14ac:dyDescent="0.35">
      <c r="A168" t="s">
        <v>322</v>
      </c>
      <c r="B168" s="1">
        <v>45979</v>
      </c>
      <c r="C168" t="s">
        <v>16</v>
      </c>
      <c r="D168" t="s">
        <v>19</v>
      </c>
      <c r="E168" t="s">
        <v>20</v>
      </c>
      <c r="F168">
        <v>18</v>
      </c>
      <c r="G168" s="6">
        <v>583.03</v>
      </c>
      <c r="H168" s="5">
        <v>10494.54</v>
      </c>
      <c r="I168">
        <v>4.8</v>
      </c>
    </row>
    <row r="169" spans="1:9" x14ac:dyDescent="0.35">
      <c r="A169" t="s">
        <v>323</v>
      </c>
      <c r="B169" s="1">
        <v>45980</v>
      </c>
      <c r="C169" t="s">
        <v>38</v>
      </c>
      <c r="D169" t="s">
        <v>12</v>
      </c>
      <c r="E169" t="s">
        <v>90</v>
      </c>
      <c r="F169">
        <v>8</v>
      </c>
      <c r="G169" s="6">
        <v>408.07</v>
      </c>
      <c r="H169" s="5">
        <v>3264.56</v>
      </c>
      <c r="I169">
        <v>4</v>
      </c>
    </row>
    <row r="170" spans="1:9" x14ac:dyDescent="0.35">
      <c r="A170" t="s">
        <v>325</v>
      </c>
      <c r="B170" s="1">
        <v>45733</v>
      </c>
      <c r="C170" t="s">
        <v>38</v>
      </c>
      <c r="D170" t="s">
        <v>19</v>
      </c>
      <c r="E170" t="s">
        <v>31</v>
      </c>
      <c r="F170">
        <v>22</v>
      </c>
      <c r="G170" s="6">
        <v>268.38</v>
      </c>
      <c r="H170" s="5">
        <v>5904.36</v>
      </c>
      <c r="I170">
        <v>4.5</v>
      </c>
    </row>
    <row r="171" spans="1:9" x14ac:dyDescent="0.35">
      <c r="A171" t="s">
        <v>327</v>
      </c>
      <c r="B171" s="1">
        <v>45938</v>
      </c>
      <c r="C171" t="s">
        <v>16</v>
      </c>
      <c r="D171" t="s">
        <v>12</v>
      </c>
      <c r="E171" t="s">
        <v>13</v>
      </c>
      <c r="F171">
        <v>9</v>
      </c>
      <c r="G171" s="6">
        <v>804.8</v>
      </c>
      <c r="H171" s="5">
        <v>7243.2</v>
      </c>
      <c r="I171">
        <v>4.7</v>
      </c>
    </row>
    <row r="172" spans="1:9" x14ac:dyDescent="0.35">
      <c r="A172" t="s">
        <v>328</v>
      </c>
      <c r="B172" s="1">
        <v>45796</v>
      </c>
      <c r="C172" t="s">
        <v>38</v>
      </c>
      <c r="D172" t="s">
        <v>24</v>
      </c>
      <c r="E172" t="s">
        <v>69</v>
      </c>
      <c r="F172">
        <v>14</v>
      </c>
      <c r="G172" s="6">
        <v>621.03</v>
      </c>
      <c r="H172" s="5">
        <v>8694.42</v>
      </c>
      <c r="I172">
        <v>3.1</v>
      </c>
    </row>
    <row r="173" spans="1:9" x14ac:dyDescent="0.35">
      <c r="A173" t="s">
        <v>330</v>
      </c>
      <c r="B173" s="1">
        <v>45788</v>
      </c>
      <c r="C173" t="s">
        <v>16</v>
      </c>
      <c r="D173" t="s">
        <v>19</v>
      </c>
      <c r="E173" t="s">
        <v>28</v>
      </c>
      <c r="F173">
        <v>4</v>
      </c>
      <c r="G173" s="6">
        <v>988.45</v>
      </c>
      <c r="H173" s="5">
        <v>3953.8</v>
      </c>
      <c r="I173">
        <v>4.8</v>
      </c>
    </row>
    <row r="174" spans="1:9" x14ac:dyDescent="0.35">
      <c r="A174" t="s">
        <v>332</v>
      </c>
      <c r="B174" s="1">
        <v>45686</v>
      </c>
      <c r="C174" t="s">
        <v>16</v>
      </c>
      <c r="D174" t="s">
        <v>19</v>
      </c>
      <c r="E174" t="s">
        <v>31</v>
      </c>
      <c r="F174">
        <v>18</v>
      </c>
      <c r="G174" s="6">
        <v>926.64</v>
      </c>
      <c r="H174" s="5">
        <v>16679.52</v>
      </c>
      <c r="I174">
        <v>3.4</v>
      </c>
    </row>
    <row r="175" spans="1:9" x14ac:dyDescent="0.35">
      <c r="A175" t="s">
        <v>334</v>
      </c>
      <c r="B175" s="1">
        <v>45836</v>
      </c>
      <c r="C175" t="s">
        <v>11</v>
      </c>
      <c r="D175" t="s">
        <v>19</v>
      </c>
      <c r="E175" t="s">
        <v>31</v>
      </c>
      <c r="F175">
        <v>10</v>
      </c>
      <c r="G175" s="6">
        <v>1314.9</v>
      </c>
      <c r="H175" s="5">
        <v>13149</v>
      </c>
      <c r="I175">
        <v>4.3</v>
      </c>
    </row>
    <row r="176" spans="1:9" x14ac:dyDescent="0.35">
      <c r="A176" t="s">
        <v>335</v>
      </c>
      <c r="B176" s="1">
        <v>45993</v>
      </c>
      <c r="C176" t="s">
        <v>23</v>
      </c>
      <c r="D176" t="s">
        <v>24</v>
      </c>
      <c r="E176" t="s">
        <v>25</v>
      </c>
      <c r="F176">
        <v>8</v>
      </c>
      <c r="G176" s="6">
        <v>1058.8800000000001</v>
      </c>
      <c r="H176" s="5">
        <v>8471.0400000000009</v>
      </c>
      <c r="I176">
        <v>4.7</v>
      </c>
    </row>
    <row r="177" spans="1:9" x14ac:dyDescent="0.35">
      <c r="A177" t="s">
        <v>336</v>
      </c>
      <c r="B177" s="1">
        <v>45938</v>
      </c>
      <c r="C177" t="s">
        <v>11</v>
      </c>
      <c r="D177" t="s">
        <v>24</v>
      </c>
      <c r="E177" t="s">
        <v>44</v>
      </c>
      <c r="F177">
        <v>24</v>
      </c>
      <c r="G177" s="6">
        <v>1227.6500000000001</v>
      </c>
      <c r="H177" s="5">
        <v>29463.599999999999</v>
      </c>
      <c r="I177">
        <v>4.5</v>
      </c>
    </row>
    <row r="178" spans="1:9" x14ac:dyDescent="0.35">
      <c r="A178" t="s">
        <v>337</v>
      </c>
      <c r="B178" s="1">
        <v>45686</v>
      </c>
      <c r="C178" t="s">
        <v>11</v>
      </c>
      <c r="D178" t="s">
        <v>24</v>
      </c>
      <c r="E178" t="s">
        <v>44</v>
      </c>
      <c r="F178">
        <v>24</v>
      </c>
      <c r="G178" s="6">
        <v>675.95</v>
      </c>
      <c r="H178" s="5">
        <v>16222.8</v>
      </c>
      <c r="I178">
        <v>3.4</v>
      </c>
    </row>
    <row r="179" spans="1:9" x14ac:dyDescent="0.35">
      <c r="A179" t="s">
        <v>338</v>
      </c>
      <c r="B179" s="1">
        <v>45808</v>
      </c>
      <c r="C179" t="s">
        <v>16</v>
      </c>
      <c r="D179" t="s">
        <v>24</v>
      </c>
      <c r="E179" t="s">
        <v>25</v>
      </c>
      <c r="F179">
        <v>25</v>
      </c>
      <c r="G179" s="6">
        <v>798.68</v>
      </c>
      <c r="H179" s="5">
        <v>19967</v>
      </c>
      <c r="I179">
        <v>3.3</v>
      </c>
    </row>
    <row r="180" spans="1:9" x14ac:dyDescent="0.35">
      <c r="A180" t="s">
        <v>339</v>
      </c>
      <c r="B180" s="1">
        <v>45861</v>
      </c>
      <c r="C180" t="s">
        <v>38</v>
      </c>
      <c r="D180" t="s">
        <v>12</v>
      </c>
      <c r="E180" t="s">
        <v>13</v>
      </c>
      <c r="F180">
        <v>22</v>
      </c>
      <c r="G180" s="6">
        <v>596.41999999999996</v>
      </c>
      <c r="H180" s="5">
        <v>13121.24</v>
      </c>
      <c r="I180">
        <v>4.4000000000000004</v>
      </c>
    </row>
    <row r="181" spans="1:9" x14ac:dyDescent="0.35">
      <c r="A181" t="s">
        <v>341</v>
      </c>
      <c r="B181" s="1">
        <v>45788</v>
      </c>
      <c r="C181" t="s">
        <v>23</v>
      </c>
      <c r="D181" t="s">
        <v>19</v>
      </c>
      <c r="E181" t="s">
        <v>28</v>
      </c>
      <c r="F181">
        <v>12</v>
      </c>
      <c r="G181" s="6">
        <v>291.45</v>
      </c>
      <c r="H181" s="5">
        <v>3497.4</v>
      </c>
      <c r="I181">
        <v>3.8</v>
      </c>
    </row>
    <row r="182" spans="1:9" x14ac:dyDescent="0.35">
      <c r="A182" t="s">
        <v>342</v>
      </c>
      <c r="B182" s="1">
        <v>45846</v>
      </c>
      <c r="C182" t="s">
        <v>16</v>
      </c>
      <c r="D182" t="s">
        <v>12</v>
      </c>
      <c r="E182" t="s">
        <v>17</v>
      </c>
      <c r="F182">
        <v>6</v>
      </c>
      <c r="G182" s="6">
        <v>388.67</v>
      </c>
      <c r="H182" s="5">
        <v>2332.02</v>
      </c>
      <c r="I182">
        <v>3.1</v>
      </c>
    </row>
    <row r="183" spans="1:9" x14ac:dyDescent="0.35">
      <c r="A183" t="s">
        <v>343</v>
      </c>
      <c r="B183" s="1">
        <v>45981</v>
      </c>
      <c r="C183" t="s">
        <v>38</v>
      </c>
      <c r="D183" t="s">
        <v>19</v>
      </c>
      <c r="E183" t="s">
        <v>20</v>
      </c>
      <c r="F183">
        <v>9</v>
      </c>
      <c r="G183" s="6">
        <v>1024.55</v>
      </c>
      <c r="H183" s="5">
        <v>9220.9500000000007</v>
      </c>
      <c r="I183">
        <v>3.9</v>
      </c>
    </row>
    <row r="184" spans="1:9" x14ac:dyDescent="0.35">
      <c r="A184" t="s">
        <v>344</v>
      </c>
      <c r="B184" s="1">
        <v>45741</v>
      </c>
      <c r="C184" t="s">
        <v>16</v>
      </c>
      <c r="D184" t="s">
        <v>19</v>
      </c>
      <c r="E184" t="s">
        <v>31</v>
      </c>
      <c r="F184">
        <v>22</v>
      </c>
      <c r="G184" s="6">
        <v>487.93</v>
      </c>
      <c r="H184" s="5">
        <v>10734.46</v>
      </c>
      <c r="I184">
        <v>3.7</v>
      </c>
    </row>
    <row r="185" spans="1:9" x14ac:dyDescent="0.35">
      <c r="A185" t="s">
        <v>346</v>
      </c>
      <c r="B185" s="1">
        <v>45994</v>
      </c>
      <c r="C185" t="s">
        <v>23</v>
      </c>
      <c r="D185" t="s">
        <v>12</v>
      </c>
      <c r="E185" t="s">
        <v>17</v>
      </c>
      <c r="F185">
        <v>19</v>
      </c>
      <c r="G185" s="6">
        <v>441.34</v>
      </c>
      <c r="H185" s="5">
        <v>8385.4599999999991</v>
      </c>
      <c r="I185">
        <v>3.3</v>
      </c>
    </row>
    <row r="186" spans="1:9" x14ac:dyDescent="0.35">
      <c r="A186" t="s">
        <v>348</v>
      </c>
      <c r="B186" s="1">
        <v>45698</v>
      </c>
      <c r="C186" t="s">
        <v>23</v>
      </c>
      <c r="D186" t="s">
        <v>19</v>
      </c>
      <c r="E186" t="s">
        <v>20</v>
      </c>
      <c r="F186">
        <v>15</v>
      </c>
      <c r="G186" s="6">
        <v>1031.1500000000001</v>
      </c>
      <c r="H186" s="5">
        <v>15467.25</v>
      </c>
      <c r="I186">
        <v>3.2</v>
      </c>
    </row>
    <row r="187" spans="1:9" x14ac:dyDescent="0.35">
      <c r="A187" t="s">
        <v>350</v>
      </c>
      <c r="B187" s="1">
        <v>45793</v>
      </c>
      <c r="C187" t="s">
        <v>38</v>
      </c>
      <c r="D187" t="s">
        <v>19</v>
      </c>
      <c r="E187" t="s">
        <v>31</v>
      </c>
      <c r="F187">
        <v>20</v>
      </c>
      <c r="G187" s="6">
        <v>1072.24</v>
      </c>
      <c r="H187" s="5">
        <v>21444.799999999999</v>
      </c>
      <c r="I187">
        <v>3.8</v>
      </c>
    </row>
    <row r="188" spans="1:9" x14ac:dyDescent="0.35">
      <c r="A188" t="s">
        <v>351</v>
      </c>
      <c r="B188" s="1">
        <v>45922</v>
      </c>
      <c r="C188" t="s">
        <v>23</v>
      </c>
      <c r="D188" t="s">
        <v>12</v>
      </c>
      <c r="E188" t="s">
        <v>17</v>
      </c>
      <c r="F188">
        <v>12</v>
      </c>
      <c r="G188" s="6">
        <v>952.46</v>
      </c>
      <c r="H188" s="5">
        <v>11429.52</v>
      </c>
      <c r="I188">
        <v>4.4000000000000004</v>
      </c>
    </row>
    <row r="189" spans="1:9" x14ac:dyDescent="0.35">
      <c r="A189" t="s">
        <v>352</v>
      </c>
      <c r="B189" s="1">
        <v>45712</v>
      </c>
      <c r="C189" t="s">
        <v>11</v>
      </c>
      <c r="D189" t="s">
        <v>24</v>
      </c>
      <c r="E189" t="s">
        <v>25</v>
      </c>
      <c r="F189">
        <v>15</v>
      </c>
      <c r="G189" s="6">
        <v>1423.23</v>
      </c>
      <c r="H189" s="5">
        <v>21348.45</v>
      </c>
      <c r="I189">
        <v>3.1</v>
      </c>
    </row>
    <row r="190" spans="1:9" x14ac:dyDescent="0.35">
      <c r="A190" t="s">
        <v>354</v>
      </c>
      <c r="B190" s="1">
        <v>45960</v>
      </c>
      <c r="C190" t="s">
        <v>38</v>
      </c>
      <c r="D190" t="s">
        <v>12</v>
      </c>
      <c r="E190" t="s">
        <v>17</v>
      </c>
      <c r="F190">
        <v>22</v>
      </c>
      <c r="G190" s="6">
        <v>1127.8</v>
      </c>
      <c r="H190" s="5">
        <v>24811.599999999999</v>
      </c>
      <c r="I190">
        <v>3.5</v>
      </c>
    </row>
    <row r="191" spans="1:9" x14ac:dyDescent="0.35">
      <c r="A191" t="s">
        <v>355</v>
      </c>
      <c r="B191" s="1">
        <v>45854</v>
      </c>
      <c r="C191" t="s">
        <v>16</v>
      </c>
      <c r="D191" t="s">
        <v>12</v>
      </c>
      <c r="E191" t="s">
        <v>17</v>
      </c>
      <c r="F191">
        <v>11</v>
      </c>
      <c r="G191" s="6">
        <v>269.2</v>
      </c>
      <c r="H191" s="5">
        <v>2961.2</v>
      </c>
      <c r="I191">
        <v>3.6</v>
      </c>
    </row>
    <row r="192" spans="1:9" x14ac:dyDescent="0.35">
      <c r="A192" t="s">
        <v>357</v>
      </c>
      <c r="B192" s="1">
        <v>45661</v>
      </c>
      <c r="C192" t="s">
        <v>16</v>
      </c>
      <c r="D192" t="s">
        <v>19</v>
      </c>
      <c r="E192" t="s">
        <v>31</v>
      </c>
      <c r="F192">
        <v>21</v>
      </c>
      <c r="G192" s="6">
        <v>791.9</v>
      </c>
      <c r="H192" s="5">
        <v>16629.900000000001</v>
      </c>
      <c r="I192">
        <v>3.2</v>
      </c>
    </row>
    <row r="193" spans="1:9" x14ac:dyDescent="0.35">
      <c r="A193" t="s">
        <v>358</v>
      </c>
      <c r="B193" s="1">
        <v>45852</v>
      </c>
      <c r="C193" t="s">
        <v>38</v>
      </c>
      <c r="D193" t="s">
        <v>12</v>
      </c>
      <c r="E193" t="s">
        <v>13</v>
      </c>
      <c r="F193">
        <v>17</v>
      </c>
      <c r="G193" s="6">
        <v>569.61</v>
      </c>
      <c r="H193" s="5">
        <v>9683.3700000000008</v>
      </c>
      <c r="I193">
        <v>4.2</v>
      </c>
    </row>
    <row r="194" spans="1:9" x14ac:dyDescent="0.35">
      <c r="A194" t="s">
        <v>359</v>
      </c>
      <c r="B194" s="1">
        <v>45714</v>
      </c>
      <c r="C194" t="s">
        <v>23</v>
      </c>
      <c r="D194" t="s">
        <v>19</v>
      </c>
      <c r="E194" t="s">
        <v>28</v>
      </c>
      <c r="F194">
        <v>10</v>
      </c>
      <c r="G194" s="6">
        <v>386.58</v>
      </c>
      <c r="H194" s="5">
        <v>3865.8</v>
      </c>
      <c r="I194">
        <v>4.3</v>
      </c>
    </row>
    <row r="195" spans="1:9" x14ac:dyDescent="0.35">
      <c r="A195" t="s">
        <v>361</v>
      </c>
      <c r="B195" s="1">
        <v>45766</v>
      </c>
      <c r="C195" t="s">
        <v>11</v>
      </c>
      <c r="D195" t="s">
        <v>24</v>
      </c>
      <c r="E195" t="s">
        <v>44</v>
      </c>
      <c r="F195">
        <v>20</v>
      </c>
      <c r="G195" s="6">
        <v>1421.07</v>
      </c>
      <c r="H195" s="5">
        <v>28421.4</v>
      </c>
      <c r="I195">
        <v>4.3</v>
      </c>
    </row>
    <row r="196" spans="1:9" x14ac:dyDescent="0.35">
      <c r="A196" t="s">
        <v>363</v>
      </c>
      <c r="B196" s="1">
        <v>45946</v>
      </c>
      <c r="C196" t="s">
        <v>16</v>
      </c>
      <c r="D196" t="s">
        <v>12</v>
      </c>
      <c r="E196" t="s">
        <v>13</v>
      </c>
      <c r="F196">
        <v>7</v>
      </c>
      <c r="G196" s="6">
        <v>1144.96</v>
      </c>
      <c r="H196" s="5">
        <v>8014.72</v>
      </c>
      <c r="I196">
        <v>4.7</v>
      </c>
    </row>
    <row r="197" spans="1:9" x14ac:dyDescent="0.35">
      <c r="A197" t="s">
        <v>365</v>
      </c>
      <c r="B197" s="1">
        <v>45967</v>
      </c>
      <c r="C197" t="s">
        <v>11</v>
      </c>
      <c r="D197" t="s">
        <v>12</v>
      </c>
      <c r="E197" t="s">
        <v>17</v>
      </c>
      <c r="F197">
        <v>8</v>
      </c>
      <c r="G197" s="6">
        <v>902.5</v>
      </c>
      <c r="H197" s="5">
        <v>7220</v>
      </c>
      <c r="I197">
        <v>4.5</v>
      </c>
    </row>
    <row r="198" spans="1:9" x14ac:dyDescent="0.35">
      <c r="A198" t="s">
        <v>366</v>
      </c>
      <c r="B198" s="1">
        <v>45921</v>
      </c>
      <c r="C198" t="s">
        <v>23</v>
      </c>
      <c r="D198" t="s">
        <v>19</v>
      </c>
      <c r="E198" t="s">
        <v>20</v>
      </c>
      <c r="F198">
        <v>23</v>
      </c>
      <c r="G198" s="6">
        <v>1472.73</v>
      </c>
      <c r="H198" s="5">
        <v>33872.79</v>
      </c>
      <c r="I198">
        <v>4.8</v>
      </c>
    </row>
    <row r="199" spans="1:9" x14ac:dyDescent="0.35">
      <c r="A199" t="s">
        <v>367</v>
      </c>
      <c r="B199" s="1">
        <v>45753</v>
      </c>
      <c r="C199" t="s">
        <v>38</v>
      </c>
      <c r="D199" t="s">
        <v>24</v>
      </c>
      <c r="E199" t="s">
        <v>69</v>
      </c>
      <c r="F199">
        <v>19</v>
      </c>
      <c r="G199" s="6">
        <v>392.7</v>
      </c>
      <c r="H199" s="5">
        <v>7461.3</v>
      </c>
      <c r="I199">
        <v>3</v>
      </c>
    </row>
    <row r="200" spans="1:9" x14ac:dyDescent="0.35">
      <c r="A200" t="s">
        <v>369</v>
      </c>
      <c r="B200" s="1">
        <v>45763</v>
      </c>
      <c r="C200" t="s">
        <v>16</v>
      </c>
      <c r="D200" t="s">
        <v>19</v>
      </c>
      <c r="E200" t="s">
        <v>20</v>
      </c>
      <c r="F200">
        <v>14</v>
      </c>
      <c r="G200" s="6">
        <v>241.55</v>
      </c>
      <c r="H200" s="5">
        <v>3381.7</v>
      </c>
      <c r="I200">
        <v>4.5</v>
      </c>
    </row>
    <row r="201" spans="1:9" x14ac:dyDescent="0.35">
      <c r="A201" t="s">
        <v>371</v>
      </c>
      <c r="B201" s="1">
        <v>45931</v>
      </c>
      <c r="C201" t="s">
        <v>11</v>
      </c>
      <c r="D201" t="s">
        <v>24</v>
      </c>
      <c r="E201" t="s">
        <v>25</v>
      </c>
      <c r="F201">
        <v>23</v>
      </c>
      <c r="G201" s="6">
        <v>373.21</v>
      </c>
      <c r="H201" s="5">
        <v>8583.83</v>
      </c>
      <c r="I201">
        <v>4.8</v>
      </c>
    </row>
    <row r="202" spans="1:9" x14ac:dyDescent="0.35">
      <c r="A202" t="s">
        <v>373</v>
      </c>
      <c r="B202" s="1">
        <v>45817</v>
      </c>
      <c r="C202" t="s">
        <v>38</v>
      </c>
      <c r="D202" t="s">
        <v>19</v>
      </c>
      <c r="E202" t="s">
        <v>31</v>
      </c>
      <c r="F202">
        <v>9</v>
      </c>
      <c r="G202" s="6">
        <v>1186.32</v>
      </c>
      <c r="H202" s="5">
        <v>10676.88</v>
      </c>
      <c r="I202">
        <v>4</v>
      </c>
    </row>
    <row r="203" spans="1:9" x14ac:dyDescent="0.35">
      <c r="A203" t="s">
        <v>375</v>
      </c>
      <c r="B203" s="1">
        <v>45731</v>
      </c>
      <c r="C203" t="s">
        <v>16</v>
      </c>
      <c r="D203" t="s">
        <v>12</v>
      </c>
      <c r="E203" t="s">
        <v>13</v>
      </c>
      <c r="F203">
        <v>8</v>
      </c>
      <c r="G203" s="6">
        <v>504.27</v>
      </c>
      <c r="H203" s="5">
        <v>4034.16</v>
      </c>
      <c r="I203">
        <v>4.2</v>
      </c>
    </row>
    <row r="204" spans="1:9" x14ac:dyDescent="0.35">
      <c r="A204" t="s">
        <v>377</v>
      </c>
      <c r="B204" s="1">
        <v>45956</v>
      </c>
      <c r="C204" t="s">
        <v>23</v>
      </c>
      <c r="D204" t="s">
        <v>24</v>
      </c>
      <c r="E204" t="s">
        <v>44</v>
      </c>
      <c r="F204">
        <v>8</v>
      </c>
      <c r="G204" s="6">
        <v>800.6</v>
      </c>
      <c r="H204" s="5">
        <v>6404.8</v>
      </c>
      <c r="I204">
        <v>4.0999999999999996</v>
      </c>
    </row>
    <row r="205" spans="1:9" x14ac:dyDescent="0.35">
      <c r="A205" t="s">
        <v>379</v>
      </c>
      <c r="B205" s="1">
        <v>45913</v>
      </c>
      <c r="C205" t="s">
        <v>23</v>
      </c>
      <c r="D205" t="s">
        <v>19</v>
      </c>
      <c r="E205" t="s">
        <v>28</v>
      </c>
      <c r="F205">
        <v>18</v>
      </c>
      <c r="G205" s="6">
        <v>808.35</v>
      </c>
      <c r="H205" s="5">
        <v>14550.3</v>
      </c>
      <c r="I205">
        <v>3.5</v>
      </c>
    </row>
    <row r="206" spans="1:9" x14ac:dyDescent="0.35">
      <c r="A206" t="s">
        <v>380</v>
      </c>
      <c r="B206" s="1">
        <v>45929</v>
      </c>
      <c r="C206" t="s">
        <v>16</v>
      </c>
      <c r="D206" t="s">
        <v>19</v>
      </c>
      <c r="E206" t="s">
        <v>20</v>
      </c>
      <c r="F206">
        <v>11</v>
      </c>
      <c r="G206" s="6">
        <v>801.72</v>
      </c>
      <c r="H206" s="5">
        <v>8818.92</v>
      </c>
      <c r="I206">
        <v>3.5</v>
      </c>
    </row>
    <row r="207" spans="1:9" x14ac:dyDescent="0.35">
      <c r="A207" t="s">
        <v>382</v>
      </c>
      <c r="B207" s="1">
        <v>45896</v>
      </c>
      <c r="C207" t="s">
        <v>16</v>
      </c>
      <c r="D207" t="s">
        <v>12</v>
      </c>
      <c r="E207" t="s">
        <v>90</v>
      </c>
      <c r="F207">
        <v>21</v>
      </c>
      <c r="G207" s="6">
        <v>411.39</v>
      </c>
      <c r="H207" s="5">
        <v>8639.19</v>
      </c>
      <c r="I207">
        <v>3.2</v>
      </c>
    </row>
    <row r="208" spans="1:9" x14ac:dyDescent="0.35">
      <c r="A208" t="s">
        <v>384</v>
      </c>
      <c r="B208" s="1">
        <v>45843</v>
      </c>
      <c r="C208" t="s">
        <v>38</v>
      </c>
      <c r="D208" t="s">
        <v>19</v>
      </c>
      <c r="E208" t="s">
        <v>20</v>
      </c>
      <c r="F208">
        <v>10</v>
      </c>
      <c r="G208" s="6">
        <v>391.56</v>
      </c>
      <c r="H208" s="5">
        <v>3915.6</v>
      </c>
      <c r="I208">
        <v>3.9</v>
      </c>
    </row>
    <row r="209" spans="1:9" x14ac:dyDescent="0.35">
      <c r="A209" t="s">
        <v>386</v>
      </c>
      <c r="B209" s="1">
        <v>45902</v>
      </c>
      <c r="C209" t="s">
        <v>16</v>
      </c>
      <c r="D209" t="s">
        <v>19</v>
      </c>
      <c r="E209" t="s">
        <v>31</v>
      </c>
      <c r="F209">
        <v>4</v>
      </c>
      <c r="G209" s="6">
        <v>1311.38</v>
      </c>
      <c r="H209" s="5">
        <v>5245.52</v>
      </c>
      <c r="I209">
        <v>3.4</v>
      </c>
    </row>
    <row r="210" spans="1:9" x14ac:dyDescent="0.35">
      <c r="A210" t="s">
        <v>388</v>
      </c>
      <c r="B210" s="1">
        <v>45661</v>
      </c>
      <c r="C210" t="s">
        <v>11</v>
      </c>
      <c r="D210" t="s">
        <v>19</v>
      </c>
      <c r="E210" t="s">
        <v>31</v>
      </c>
      <c r="F210">
        <v>12</v>
      </c>
      <c r="G210" s="6">
        <v>830.75</v>
      </c>
      <c r="H210" s="5">
        <v>9969</v>
      </c>
      <c r="I210">
        <v>3.9</v>
      </c>
    </row>
    <row r="211" spans="1:9" x14ac:dyDescent="0.35">
      <c r="A211" t="s">
        <v>389</v>
      </c>
      <c r="B211" s="1">
        <v>45737</v>
      </c>
      <c r="C211" t="s">
        <v>16</v>
      </c>
      <c r="D211" t="s">
        <v>12</v>
      </c>
      <c r="E211" t="s">
        <v>90</v>
      </c>
      <c r="F211">
        <v>24</v>
      </c>
      <c r="G211" s="6">
        <v>638.54999999999995</v>
      </c>
      <c r="H211" s="5">
        <v>15325.2</v>
      </c>
      <c r="I211">
        <v>3.6</v>
      </c>
    </row>
    <row r="212" spans="1:9" x14ac:dyDescent="0.35">
      <c r="A212" t="s">
        <v>391</v>
      </c>
      <c r="B212" s="1">
        <v>45844</v>
      </c>
      <c r="C212" t="s">
        <v>38</v>
      </c>
      <c r="D212" t="s">
        <v>19</v>
      </c>
      <c r="E212" t="s">
        <v>20</v>
      </c>
      <c r="F212">
        <v>10</v>
      </c>
      <c r="G212" s="6">
        <v>428.68</v>
      </c>
      <c r="H212" s="5">
        <v>4286.8</v>
      </c>
      <c r="I212">
        <v>3.9</v>
      </c>
    </row>
    <row r="213" spans="1:9" x14ac:dyDescent="0.35">
      <c r="A213" t="s">
        <v>393</v>
      </c>
      <c r="B213" s="1">
        <v>45812</v>
      </c>
      <c r="C213" t="s">
        <v>38</v>
      </c>
      <c r="D213" t="s">
        <v>12</v>
      </c>
      <c r="E213" t="s">
        <v>17</v>
      </c>
      <c r="F213">
        <v>4</v>
      </c>
      <c r="G213" s="6">
        <v>1448.03</v>
      </c>
      <c r="H213" s="5">
        <v>5792.12</v>
      </c>
      <c r="I213">
        <v>4</v>
      </c>
    </row>
    <row r="214" spans="1:9" x14ac:dyDescent="0.35">
      <c r="A214" t="s">
        <v>394</v>
      </c>
      <c r="B214" s="1">
        <v>45687</v>
      </c>
      <c r="C214" t="s">
        <v>16</v>
      </c>
      <c r="D214" t="s">
        <v>12</v>
      </c>
      <c r="E214" t="s">
        <v>13</v>
      </c>
      <c r="F214">
        <v>14</v>
      </c>
      <c r="G214" s="6">
        <v>1491.62</v>
      </c>
      <c r="H214" s="5">
        <v>20882.68</v>
      </c>
      <c r="I214">
        <v>4.5999999999999996</v>
      </c>
    </row>
    <row r="215" spans="1:9" x14ac:dyDescent="0.35">
      <c r="A215" t="s">
        <v>396</v>
      </c>
      <c r="B215" s="1">
        <v>46016</v>
      </c>
      <c r="C215" t="s">
        <v>11</v>
      </c>
      <c r="D215" t="s">
        <v>12</v>
      </c>
      <c r="E215" t="s">
        <v>90</v>
      </c>
      <c r="F215">
        <v>23</v>
      </c>
      <c r="G215" s="6">
        <v>1266.06</v>
      </c>
      <c r="H215" s="5">
        <v>29119.38</v>
      </c>
      <c r="I215">
        <v>3.5</v>
      </c>
    </row>
    <row r="216" spans="1:9" x14ac:dyDescent="0.35">
      <c r="A216" t="s">
        <v>397</v>
      </c>
      <c r="B216" s="1">
        <v>46018</v>
      </c>
      <c r="C216" t="s">
        <v>16</v>
      </c>
      <c r="D216" t="s">
        <v>12</v>
      </c>
      <c r="E216" t="s">
        <v>90</v>
      </c>
      <c r="F216">
        <v>23</v>
      </c>
      <c r="G216" s="6">
        <v>1485.23</v>
      </c>
      <c r="H216" s="5">
        <v>34160.29</v>
      </c>
      <c r="I216">
        <v>3.5</v>
      </c>
    </row>
    <row r="217" spans="1:9" x14ac:dyDescent="0.35">
      <c r="A217" t="s">
        <v>399</v>
      </c>
      <c r="B217" s="1">
        <v>45973</v>
      </c>
      <c r="C217" t="s">
        <v>23</v>
      </c>
      <c r="D217" t="s">
        <v>24</v>
      </c>
      <c r="E217" t="s">
        <v>25</v>
      </c>
      <c r="F217">
        <v>8</v>
      </c>
      <c r="G217" s="6">
        <v>1029.8699999999999</v>
      </c>
      <c r="H217" s="5">
        <v>8238.9599999999991</v>
      </c>
      <c r="I217">
        <v>4.7</v>
      </c>
    </row>
    <row r="218" spans="1:9" x14ac:dyDescent="0.35">
      <c r="A218" t="s">
        <v>400</v>
      </c>
      <c r="B218" s="1">
        <v>45886</v>
      </c>
      <c r="C218" t="s">
        <v>11</v>
      </c>
      <c r="D218" t="s">
        <v>19</v>
      </c>
      <c r="E218" t="s">
        <v>20</v>
      </c>
      <c r="F218">
        <v>12</v>
      </c>
      <c r="G218" s="6">
        <v>96.06</v>
      </c>
      <c r="H218" s="5">
        <v>1152.72</v>
      </c>
      <c r="I218">
        <v>4.0999999999999996</v>
      </c>
    </row>
    <row r="219" spans="1:9" x14ac:dyDescent="0.35">
      <c r="A219" t="s">
        <v>402</v>
      </c>
      <c r="B219" s="1">
        <v>45806</v>
      </c>
      <c r="C219" t="s">
        <v>38</v>
      </c>
      <c r="D219" t="s">
        <v>24</v>
      </c>
      <c r="E219" t="s">
        <v>25</v>
      </c>
      <c r="F219">
        <v>8</v>
      </c>
      <c r="G219" s="6">
        <v>1272.23</v>
      </c>
      <c r="H219" s="5">
        <v>10177.84</v>
      </c>
      <c r="I219">
        <v>4.2</v>
      </c>
    </row>
    <row r="220" spans="1:9" x14ac:dyDescent="0.35">
      <c r="A220" t="s">
        <v>404</v>
      </c>
      <c r="B220" s="1">
        <v>45904</v>
      </c>
      <c r="C220" t="s">
        <v>38</v>
      </c>
      <c r="D220" t="s">
        <v>12</v>
      </c>
      <c r="E220" t="s">
        <v>13</v>
      </c>
      <c r="F220">
        <v>25</v>
      </c>
      <c r="G220" s="6">
        <v>1356.38</v>
      </c>
      <c r="H220" s="5">
        <v>33909.5</v>
      </c>
      <c r="I220">
        <v>4.4000000000000004</v>
      </c>
    </row>
    <row r="221" spans="1:9" x14ac:dyDescent="0.35">
      <c r="A221" t="s">
        <v>405</v>
      </c>
      <c r="B221" s="1">
        <v>45827</v>
      </c>
      <c r="C221" t="s">
        <v>23</v>
      </c>
      <c r="D221" t="s">
        <v>19</v>
      </c>
      <c r="E221" t="s">
        <v>31</v>
      </c>
      <c r="F221">
        <v>15</v>
      </c>
      <c r="G221" s="6">
        <v>523.63</v>
      </c>
      <c r="H221" s="5">
        <v>7854.45</v>
      </c>
      <c r="I221">
        <v>3.5</v>
      </c>
    </row>
    <row r="222" spans="1:9" x14ac:dyDescent="0.35">
      <c r="A222" t="s">
        <v>406</v>
      </c>
      <c r="B222" s="1">
        <v>45748</v>
      </c>
      <c r="C222" t="s">
        <v>11</v>
      </c>
      <c r="D222" t="s">
        <v>19</v>
      </c>
      <c r="E222" t="s">
        <v>31</v>
      </c>
      <c r="F222">
        <v>6</v>
      </c>
      <c r="G222" s="6">
        <v>403.68</v>
      </c>
      <c r="H222" s="5">
        <v>2422.08</v>
      </c>
      <c r="I222">
        <v>4.5</v>
      </c>
    </row>
    <row r="223" spans="1:9" x14ac:dyDescent="0.35">
      <c r="A223" t="s">
        <v>407</v>
      </c>
      <c r="B223" s="1">
        <v>45716</v>
      </c>
      <c r="C223" t="s">
        <v>11</v>
      </c>
      <c r="D223" t="s">
        <v>24</v>
      </c>
      <c r="E223" t="s">
        <v>69</v>
      </c>
      <c r="F223">
        <v>6</v>
      </c>
      <c r="G223" s="6">
        <v>130.44999999999999</v>
      </c>
      <c r="H223" s="5">
        <v>782.7</v>
      </c>
      <c r="I223">
        <v>4.2</v>
      </c>
    </row>
    <row r="224" spans="1:9" x14ac:dyDescent="0.35">
      <c r="A224" t="s">
        <v>409</v>
      </c>
      <c r="B224" s="1">
        <v>45785</v>
      </c>
      <c r="C224" t="s">
        <v>38</v>
      </c>
      <c r="D224" t="s">
        <v>12</v>
      </c>
      <c r="E224" t="s">
        <v>13</v>
      </c>
      <c r="F224">
        <v>3</v>
      </c>
      <c r="G224" s="6">
        <v>352.02</v>
      </c>
      <c r="H224" s="5">
        <v>1056.06</v>
      </c>
      <c r="I224">
        <v>4.5999999999999996</v>
      </c>
    </row>
    <row r="225" spans="1:9" x14ac:dyDescent="0.35">
      <c r="A225" t="s">
        <v>411</v>
      </c>
      <c r="B225" s="1">
        <v>45792</v>
      </c>
      <c r="C225" t="s">
        <v>11</v>
      </c>
      <c r="D225" t="s">
        <v>24</v>
      </c>
      <c r="E225" t="s">
        <v>69</v>
      </c>
      <c r="F225">
        <v>23</v>
      </c>
      <c r="G225" s="6">
        <v>1241.43</v>
      </c>
      <c r="H225" s="5">
        <v>28552.89</v>
      </c>
      <c r="I225">
        <v>3.9</v>
      </c>
    </row>
    <row r="226" spans="1:9" x14ac:dyDescent="0.35">
      <c r="A226" t="s">
        <v>412</v>
      </c>
      <c r="B226" s="1">
        <v>45804</v>
      </c>
      <c r="C226" t="s">
        <v>23</v>
      </c>
      <c r="D226" t="s">
        <v>19</v>
      </c>
      <c r="E226" t="s">
        <v>28</v>
      </c>
      <c r="F226">
        <v>5</v>
      </c>
      <c r="G226" s="6">
        <v>786.04</v>
      </c>
      <c r="H226" s="5">
        <v>3930.2</v>
      </c>
      <c r="I226">
        <v>3.1</v>
      </c>
    </row>
    <row r="227" spans="1:9" x14ac:dyDescent="0.35">
      <c r="A227" t="s">
        <v>414</v>
      </c>
      <c r="B227" s="1">
        <v>45675</v>
      </c>
      <c r="C227" t="s">
        <v>23</v>
      </c>
      <c r="D227" t="s">
        <v>19</v>
      </c>
      <c r="E227" t="s">
        <v>31</v>
      </c>
      <c r="F227">
        <v>5</v>
      </c>
      <c r="G227" s="6">
        <v>666.41</v>
      </c>
      <c r="H227" s="5">
        <v>3332.05</v>
      </c>
      <c r="I227">
        <v>3.1</v>
      </c>
    </row>
    <row r="228" spans="1:9" x14ac:dyDescent="0.35">
      <c r="A228" t="s">
        <v>415</v>
      </c>
      <c r="B228" s="1">
        <v>45729</v>
      </c>
      <c r="C228" t="s">
        <v>23</v>
      </c>
      <c r="D228" t="s">
        <v>19</v>
      </c>
      <c r="E228" t="s">
        <v>31</v>
      </c>
      <c r="F228">
        <v>19</v>
      </c>
      <c r="G228" s="6">
        <v>1463.41</v>
      </c>
      <c r="H228" s="5">
        <v>27804.79</v>
      </c>
      <c r="I228">
        <v>3.6</v>
      </c>
    </row>
    <row r="229" spans="1:9" x14ac:dyDescent="0.35">
      <c r="A229" t="s">
        <v>416</v>
      </c>
      <c r="B229" s="1">
        <v>45737</v>
      </c>
      <c r="C229" t="s">
        <v>38</v>
      </c>
      <c r="D229" t="s">
        <v>12</v>
      </c>
      <c r="E229" t="s">
        <v>17</v>
      </c>
      <c r="F229">
        <v>18</v>
      </c>
      <c r="G229" s="6">
        <v>624.47</v>
      </c>
      <c r="H229" s="5">
        <v>11240.46</v>
      </c>
      <c r="I229">
        <v>4.9000000000000004</v>
      </c>
    </row>
    <row r="230" spans="1:9" x14ac:dyDescent="0.35">
      <c r="A230" t="s">
        <v>417</v>
      </c>
      <c r="B230" s="1">
        <v>45870</v>
      </c>
      <c r="C230" t="s">
        <v>23</v>
      </c>
      <c r="D230" t="s">
        <v>19</v>
      </c>
      <c r="E230" t="s">
        <v>20</v>
      </c>
      <c r="F230">
        <v>8</v>
      </c>
      <c r="G230" s="6">
        <v>1046.3399999999999</v>
      </c>
      <c r="H230" s="5">
        <v>8370.7199999999993</v>
      </c>
      <c r="I230">
        <v>3.5</v>
      </c>
    </row>
    <row r="231" spans="1:9" x14ac:dyDescent="0.35">
      <c r="A231" t="s">
        <v>418</v>
      </c>
      <c r="B231" s="1">
        <v>45848</v>
      </c>
      <c r="C231" t="s">
        <v>16</v>
      </c>
      <c r="D231" t="s">
        <v>24</v>
      </c>
      <c r="E231" t="s">
        <v>44</v>
      </c>
      <c r="F231">
        <v>3</v>
      </c>
      <c r="G231" s="6">
        <v>417.11</v>
      </c>
      <c r="H231" s="5">
        <v>1251.33</v>
      </c>
      <c r="I231">
        <v>4</v>
      </c>
    </row>
    <row r="232" spans="1:9" x14ac:dyDescent="0.35">
      <c r="A232" t="s">
        <v>419</v>
      </c>
      <c r="B232" s="1">
        <v>45694</v>
      </c>
      <c r="C232" t="s">
        <v>16</v>
      </c>
      <c r="D232" t="s">
        <v>12</v>
      </c>
      <c r="E232" t="s">
        <v>90</v>
      </c>
      <c r="F232">
        <v>13</v>
      </c>
      <c r="G232" s="6">
        <v>928.47</v>
      </c>
      <c r="H232" s="5">
        <v>12070.11</v>
      </c>
      <c r="I232">
        <v>3.2</v>
      </c>
    </row>
    <row r="233" spans="1:9" x14ac:dyDescent="0.35">
      <c r="A233" t="s">
        <v>421</v>
      </c>
      <c r="B233" s="1">
        <v>45825</v>
      </c>
      <c r="C233" t="s">
        <v>38</v>
      </c>
      <c r="D233" t="s">
        <v>12</v>
      </c>
      <c r="E233" t="s">
        <v>13</v>
      </c>
      <c r="F233">
        <v>9</v>
      </c>
      <c r="G233" s="6">
        <v>440.64</v>
      </c>
      <c r="H233" s="5">
        <v>3965.76</v>
      </c>
      <c r="I233">
        <v>4.8</v>
      </c>
    </row>
    <row r="234" spans="1:9" x14ac:dyDescent="0.35">
      <c r="A234" t="s">
        <v>423</v>
      </c>
      <c r="B234" s="1">
        <v>45883</v>
      </c>
      <c r="C234" t="s">
        <v>23</v>
      </c>
      <c r="D234" t="s">
        <v>24</v>
      </c>
      <c r="E234" t="s">
        <v>69</v>
      </c>
      <c r="F234">
        <v>9</v>
      </c>
      <c r="G234" s="6">
        <v>1473.32</v>
      </c>
      <c r="H234" s="5">
        <v>13259.88</v>
      </c>
      <c r="I234">
        <v>4.5</v>
      </c>
    </row>
    <row r="235" spans="1:9" x14ac:dyDescent="0.35">
      <c r="A235" t="s">
        <v>424</v>
      </c>
      <c r="B235" s="1">
        <v>45989</v>
      </c>
      <c r="C235" t="s">
        <v>38</v>
      </c>
      <c r="D235" t="s">
        <v>19</v>
      </c>
      <c r="E235" t="s">
        <v>20</v>
      </c>
      <c r="F235">
        <v>7</v>
      </c>
      <c r="G235" s="6">
        <v>642.73</v>
      </c>
      <c r="H235" s="5">
        <v>4499.1099999999997</v>
      </c>
      <c r="I235">
        <v>3.1</v>
      </c>
    </row>
    <row r="236" spans="1:9" x14ac:dyDescent="0.35">
      <c r="A236" t="s">
        <v>426</v>
      </c>
      <c r="B236" s="1">
        <v>45791</v>
      </c>
      <c r="C236" t="s">
        <v>38</v>
      </c>
      <c r="D236" t="s">
        <v>19</v>
      </c>
      <c r="E236" t="s">
        <v>28</v>
      </c>
      <c r="F236">
        <v>24</v>
      </c>
      <c r="G236" s="6">
        <v>382.75</v>
      </c>
      <c r="H236" s="5">
        <v>9186</v>
      </c>
      <c r="I236">
        <v>3.2</v>
      </c>
    </row>
    <row r="237" spans="1:9" x14ac:dyDescent="0.35">
      <c r="A237" t="s">
        <v>427</v>
      </c>
      <c r="B237" s="1">
        <v>45901</v>
      </c>
      <c r="C237" t="s">
        <v>23</v>
      </c>
      <c r="D237" t="s">
        <v>24</v>
      </c>
      <c r="E237" t="s">
        <v>69</v>
      </c>
      <c r="F237">
        <v>25</v>
      </c>
      <c r="G237" s="6">
        <v>248.71</v>
      </c>
      <c r="H237" s="5">
        <v>6217.75</v>
      </c>
      <c r="I237">
        <v>4.8</v>
      </c>
    </row>
    <row r="238" spans="1:9" x14ac:dyDescent="0.35">
      <c r="A238" t="s">
        <v>429</v>
      </c>
      <c r="B238" s="1">
        <v>45992</v>
      </c>
      <c r="C238" t="s">
        <v>11</v>
      </c>
      <c r="D238" t="s">
        <v>24</v>
      </c>
      <c r="E238" t="s">
        <v>69</v>
      </c>
      <c r="F238">
        <v>1</v>
      </c>
      <c r="G238" s="6">
        <v>1320.38</v>
      </c>
      <c r="H238" s="5">
        <v>1320.38</v>
      </c>
      <c r="I238">
        <v>3.4</v>
      </c>
    </row>
    <row r="239" spans="1:9" x14ac:dyDescent="0.35">
      <c r="A239" t="s">
        <v>431</v>
      </c>
      <c r="B239" s="1">
        <v>45709</v>
      </c>
      <c r="C239" t="s">
        <v>11</v>
      </c>
      <c r="D239" t="s">
        <v>12</v>
      </c>
      <c r="E239" t="s">
        <v>90</v>
      </c>
      <c r="F239">
        <v>18</v>
      </c>
      <c r="G239" s="6">
        <v>503.69</v>
      </c>
      <c r="H239" s="5">
        <v>9066.42</v>
      </c>
      <c r="I239">
        <v>4.9000000000000004</v>
      </c>
    </row>
    <row r="240" spans="1:9" x14ac:dyDescent="0.35">
      <c r="A240" t="s">
        <v>432</v>
      </c>
      <c r="B240" s="1">
        <v>45871</v>
      </c>
      <c r="C240" t="s">
        <v>16</v>
      </c>
      <c r="D240" t="s">
        <v>19</v>
      </c>
      <c r="E240" t="s">
        <v>28</v>
      </c>
      <c r="F240">
        <v>1</v>
      </c>
      <c r="G240" s="6">
        <v>887.9</v>
      </c>
      <c r="H240" s="5">
        <v>887.9</v>
      </c>
      <c r="I240">
        <v>3</v>
      </c>
    </row>
    <row r="241" spans="1:9" x14ac:dyDescent="0.35">
      <c r="A241" t="s">
        <v>433</v>
      </c>
      <c r="B241" s="1">
        <v>45674</v>
      </c>
      <c r="C241" t="s">
        <v>23</v>
      </c>
      <c r="D241" t="s">
        <v>12</v>
      </c>
      <c r="E241" t="s">
        <v>13</v>
      </c>
      <c r="F241">
        <v>7</v>
      </c>
      <c r="G241" s="6">
        <v>813.85</v>
      </c>
      <c r="H241" s="5">
        <v>5696.95</v>
      </c>
      <c r="I241">
        <v>3.2</v>
      </c>
    </row>
    <row r="242" spans="1:9" x14ac:dyDescent="0.35">
      <c r="A242" t="s">
        <v>435</v>
      </c>
      <c r="B242" s="1">
        <v>45677</v>
      </c>
      <c r="C242" t="s">
        <v>16</v>
      </c>
      <c r="D242" t="s">
        <v>19</v>
      </c>
      <c r="E242" t="s">
        <v>20</v>
      </c>
      <c r="F242">
        <v>24</v>
      </c>
      <c r="G242" s="6">
        <v>699.21</v>
      </c>
      <c r="H242" s="5">
        <v>16781.04</v>
      </c>
      <c r="I242">
        <v>4.4000000000000004</v>
      </c>
    </row>
    <row r="243" spans="1:9" x14ac:dyDescent="0.35">
      <c r="A243" t="s">
        <v>437</v>
      </c>
      <c r="B243" s="1">
        <v>45924</v>
      </c>
      <c r="C243" t="s">
        <v>16</v>
      </c>
      <c r="D243" t="s">
        <v>12</v>
      </c>
      <c r="E243" t="s">
        <v>17</v>
      </c>
      <c r="F243">
        <v>14</v>
      </c>
      <c r="G243" s="6">
        <v>391.44</v>
      </c>
      <c r="H243" s="5">
        <v>5480.16</v>
      </c>
      <c r="I243">
        <v>3.4</v>
      </c>
    </row>
    <row r="244" spans="1:9" x14ac:dyDescent="0.35">
      <c r="A244" t="s">
        <v>439</v>
      </c>
      <c r="B244" s="1">
        <v>45829</v>
      </c>
      <c r="C244" t="s">
        <v>11</v>
      </c>
      <c r="D244" t="s">
        <v>19</v>
      </c>
      <c r="E244" t="s">
        <v>31</v>
      </c>
      <c r="F244">
        <v>9</v>
      </c>
      <c r="G244" s="6">
        <v>1396.53</v>
      </c>
      <c r="H244" s="5">
        <v>12568.77</v>
      </c>
      <c r="I244">
        <v>3.3</v>
      </c>
    </row>
    <row r="245" spans="1:9" x14ac:dyDescent="0.35">
      <c r="A245" t="s">
        <v>440</v>
      </c>
      <c r="B245" s="1">
        <v>45828</v>
      </c>
      <c r="C245" t="s">
        <v>38</v>
      </c>
      <c r="D245" t="s">
        <v>12</v>
      </c>
      <c r="E245" t="s">
        <v>17</v>
      </c>
      <c r="F245">
        <v>2</v>
      </c>
      <c r="G245" s="6">
        <v>1304.76</v>
      </c>
      <c r="H245" s="5">
        <v>2609.52</v>
      </c>
      <c r="I245">
        <v>3.4</v>
      </c>
    </row>
    <row r="246" spans="1:9" x14ac:dyDescent="0.35">
      <c r="A246" t="s">
        <v>442</v>
      </c>
      <c r="B246" s="1">
        <v>45784</v>
      </c>
      <c r="C246" t="s">
        <v>38</v>
      </c>
      <c r="D246" t="s">
        <v>24</v>
      </c>
      <c r="E246" t="s">
        <v>25</v>
      </c>
      <c r="F246">
        <v>11</v>
      </c>
      <c r="G246" s="6">
        <v>641.26</v>
      </c>
      <c r="H246" s="5">
        <v>7053.86</v>
      </c>
      <c r="I246">
        <v>4.3</v>
      </c>
    </row>
    <row r="247" spans="1:9" x14ac:dyDescent="0.35">
      <c r="A247" t="s">
        <v>444</v>
      </c>
      <c r="B247" s="1">
        <v>45824</v>
      </c>
      <c r="C247" t="s">
        <v>11</v>
      </c>
      <c r="D247" t="s">
        <v>24</v>
      </c>
      <c r="E247" t="s">
        <v>69</v>
      </c>
      <c r="F247">
        <v>5</v>
      </c>
      <c r="G247" s="6">
        <v>534.67999999999995</v>
      </c>
      <c r="H247" s="5">
        <v>2673.4</v>
      </c>
      <c r="I247">
        <v>3.7</v>
      </c>
    </row>
    <row r="248" spans="1:9" x14ac:dyDescent="0.35">
      <c r="A248" t="s">
        <v>446</v>
      </c>
      <c r="B248" s="1">
        <v>45773</v>
      </c>
      <c r="C248" t="s">
        <v>11</v>
      </c>
      <c r="D248" t="s">
        <v>24</v>
      </c>
      <c r="E248" t="s">
        <v>25</v>
      </c>
      <c r="F248">
        <v>11</v>
      </c>
      <c r="G248" s="6">
        <v>106.33</v>
      </c>
      <c r="H248" s="5">
        <v>1169.6300000000001</v>
      </c>
      <c r="I248">
        <v>3.1</v>
      </c>
    </row>
    <row r="249" spans="1:9" x14ac:dyDescent="0.35">
      <c r="A249" t="s">
        <v>448</v>
      </c>
      <c r="B249" s="1">
        <v>45951</v>
      </c>
      <c r="C249" t="s">
        <v>16</v>
      </c>
      <c r="D249" t="s">
        <v>19</v>
      </c>
      <c r="E249" t="s">
        <v>28</v>
      </c>
      <c r="F249">
        <v>1</v>
      </c>
      <c r="G249" s="6">
        <v>1473.41</v>
      </c>
      <c r="H249" s="5">
        <v>1473.41</v>
      </c>
      <c r="I249">
        <v>3.5</v>
      </c>
    </row>
    <row r="250" spans="1:9" x14ac:dyDescent="0.35">
      <c r="A250" t="s">
        <v>449</v>
      </c>
      <c r="B250" s="1">
        <v>45777</v>
      </c>
      <c r="C250" t="s">
        <v>38</v>
      </c>
      <c r="D250" t="s">
        <v>12</v>
      </c>
      <c r="E250" t="s">
        <v>17</v>
      </c>
      <c r="F250">
        <v>13</v>
      </c>
      <c r="G250" s="6">
        <v>1445.24</v>
      </c>
      <c r="H250" s="5">
        <v>18788.12</v>
      </c>
      <c r="I250">
        <v>4.9000000000000004</v>
      </c>
    </row>
    <row r="251" spans="1:9" x14ac:dyDescent="0.35">
      <c r="A251" t="s">
        <v>451</v>
      </c>
      <c r="B251" s="1">
        <v>45768</v>
      </c>
      <c r="C251" t="s">
        <v>16</v>
      </c>
      <c r="D251" t="s">
        <v>19</v>
      </c>
      <c r="E251" t="s">
        <v>31</v>
      </c>
      <c r="F251">
        <v>13</v>
      </c>
      <c r="G251" s="6">
        <v>1464.23</v>
      </c>
      <c r="H251" s="5">
        <v>19034.990000000002</v>
      </c>
      <c r="I251">
        <v>4.0999999999999996</v>
      </c>
    </row>
    <row r="252" spans="1:9" x14ac:dyDescent="0.35">
      <c r="A252" t="s">
        <v>453</v>
      </c>
      <c r="B252" s="1">
        <v>45808</v>
      </c>
      <c r="C252" t="s">
        <v>16</v>
      </c>
      <c r="D252" t="s">
        <v>24</v>
      </c>
      <c r="E252" t="s">
        <v>69</v>
      </c>
      <c r="F252">
        <v>18</v>
      </c>
      <c r="G252" s="6">
        <v>1307.8900000000001</v>
      </c>
      <c r="H252" s="5">
        <v>23542.02</v>
      </c>
      <c r="I252">
        <v>4.0999999999999996</v>
      </c>
    </row>
    <row r="253" spans="1:9" x14ac:dyDescent="0.35">
      <c r="A253" t="s">
        <v>454</v>
      </c>
      <c r="B253" s="1">
        <v>45723</v>
      </c>
      <c r="C253" t="s">
        <v>11</v>
      </c>
      <c r="D253" t="s">
        <v>19</v>
      </c>
      <c r="E253" t="s">
        <v>31</v>
      </c>
      <c r="F253">
        <v>15</v>
      </c>
      <c r="G253" s="6">
        <v>445.75</v>
      </c>
      <c r="H253" s="5">
        <v>6686.25</v>
      </c>
      <c r="I253">
        <v>3.4</v>
      </c>
    </row>
    <row r="254" spans="1:9" x14ac:dyDescent="0.35">
      <c r="A254" t="s">
        <v>456</v>
      </c>
      <c r="B254" s="1">
        <v>45891</v>
      </c>
      <c r="C254" t="s">
        <v>11</v>
      </c>
      <c r="D254" t="s">
        <v>24</v>
      </c>
      <c r="E254" t="s">
        <v>69</v>
      </c>
      <c r="F254">
        <v>25</v>
      </c>
      <c r="G254" s="6">
        <v>134.22999999999999</v>
      </c>
      <c r="H254" s="5">
        <v>3355.75</v>
      </c>
      <c r="I254">
        <v>4.5999999999999996</v>
      </c>
    </row>
    <row r="255" spans="1:9" x14ac:dyDescent="0.35">
      <c r="A255" t="s">
        <v>458</v>
      </c>
      <c r="B255" s="1">
        <v>45897</v>
      </c>
      <c r="C255" t="s">
        <v>38</v>
      </c>
      <c r="D255" t="s">
        <v>12</v>
      </c>
      <c r="E255" t="s">
        <v>90</v>
      </c>
      <c r="F255">
        <v>19</v>
      </c>
      <c r="G255" s="6">
        <v>1429.93</v>
      </c>
      <c r="H255" s="5">
        <v>27168.67</v>
      </c>
      <c r="I255">
        <v>3.5</v>
      </c>
    </row>
    <row r="256" spans="1:9" x14ac:dyDescent="0.35">
      <c r="A256" t="s">
        <v>460</v>
      </c>
      <c r="B256" s="1">
        <v>45973</v>
      </c>
      <c r="C256" t="s">
        <v>38</v>
      </c>
      <c r="D256" t="s">
        <v>24</v>
      </c>
      <c r="E256" t="s">
        <v>44</v>
      </c>
      <c r="F256">
        <v>10</v>
      </c>
      <c r="G256" s="6">
        <v>110.21</v>
      </c>
      <c r="H256" s="5">
        <v>1102.0999999999999</v>
      </c>
      <c r="I256">
        <v>4.9000000000000004</v>
      </c>
    </row>
    <row r="257" spans="1:9" x14ac:dyDescent="0.35">
      <c r="A257" t="s">
        <v>461</v>
      </c>
      <c r="B257" s="1">
        <v>45914</v>
      </c>
      <c r="C257" t="s">
        <v>11</v>
      </c>
      <c r="D257" t="s">
        <v>19</v>
      </c>
      <c r="E257" t="s">
        <v>20</v>
      </c>
      <c r="F257">
        <v>12</v>
      </c>
      <c r="G257" s="6">
        <v>50.08</v>
      </c>
      <c r="H257" s="5">
        <v>600.96</v>
      </c>
      <c r="I257">
        <v>3.7</v>
      </c>
    </row>
    <row r="258" spans="1:9" x14ac:dyDescent="0.35">
      <c r="A258" t="s">
        <v>463</v>
      </c>
      <c r="B258" s="1">
        <v>45720</v>
      </c>
      <c r="C258" t="s">
        <v>16</v>
      </c>
      <c r="D258" t="s">
        <v>19</v>
      </c>
      <c r="E258" t="s">
        <v>31</v>
      </c>
      <c r="F258">
        <v>25</v>
      </c>
      <c r="G258" s="6">
        <v>1237.67</v>
      </c>
      <c r="H258" s="5">
        <v>30941.75</v>
      </c>
      <c r="I258">
        <v>4.2</v>
      </c>
    </row>
    <row r="259" spans="1:9" x14ac:dyDescent="0.35">
      <c r="A259" t="s">
        <v>464</v>
      </c>
      <c r="B259" s="1">
        <v>45871</v>
      </c>
      <c r="C259" t="s">
        <v>16</v>
      </c>
      <c r="D259" t="s">
        <v>24</v>
      </c>
      <c r="E259" t="s">
        <v>44</v>
      </c>
      <c r="F259">
        <v>12</v>
      </c>
      <c r="G259" s="6">
        <v>770.02</v>
      </c>
      <c r="H259" s="5">
        <v>9240.24</v>
      </c>
      <c r="I259">
        <v>4</v>
      </c>
    </row>
    <row r="260" spans="1:9" x14ac:dyDescent="0.35">
      <c r="A260" t="s">
        <v>465</v>
      </c>
      <c r="B260" s="1">
        <v>45844</v>
      </c>
      <c r="C260" t="s">
        <v>23</v>
      </c>
      <c r="D260" t="s">
        <v>19</v>
      </c>
      <c r="E260" t="s">
        <v>31</v>
      </c>
      <c r="F260">
        <v>22</v>
      </c>
      <c r="G260" s="6">
        <v>912.66</v>
      </c>
      <c r="H260" s="5">
        <v>20078.52</v>
      </c>
      <c r="I260">
        <v>4.2</v>
      </c>
    </row>
    <row r="261" spans="1:9" x14ac:dyDescent="0.35">
      <c r="A261" t="s">
        <v>466</v>
      </c>
      <c r="B261" s="1">
        <v>45662</v>
      </c>
      <c r="C261" t="s">
        <v>23</v>
      </c>
      <c r="D261" t="s">
        <v>12</v>
      </c>
      <c r="E261" t="s">
        <v>13</v>
      </c>
      <c r="F261">
        <v>14</v>
      </c>
      <c r="G261" s="6">
        <v>1120.0999999999999</v>
      </c>
      <c r="H261" s="5">
        <v>15681.4</v>
      </c>
      <c r="I261">
        <v>3.9</v>
      </c>
    </row>
    <row r="262" spans="1:9" x14ac:dyDescent="0.35">
      <c r="A262" t="s">
        <v>467</v>
      </c>
      <c r="B262" s="1">
        <v>46000</v>
      </c>
      <c r="C262" t="s">
        <v>23</v>
      </c>
      <c r="D262" t="s">
        <v>24</v>
      </c>
      <c r="E262" t="s">
        <v>69</v>
      </c>
      <c r="F262">
        <v>20</v>
      </c>
      <c r="G262" s="6">
        <v>472.68</v>
      </c>
      <c r="H262" s="5">
        <v>9453.6</v>
      </c>
      <c r="I262">
        <v>4.4000000000000004</v>
      </c>
    </row>
    <row r="263" spans="1:9" x14ac:dyDescent="0.35">
      <c r="A263" t="s">
        <v>469</v>
      </c>
      <c r="B263" s="1">
        <v>45957</v>
      </c>
      <c r="C263" t="s">
        <v>16</v>
      </c>
      <c r="D263" t="s">
        <v>24</v>
      </c>
      <c r="E263" t="s">
        <v>69</v>
      </c>
      <c r="F263">
        <v>3</v>
      </c>
      <c r="G263" s="6">
        <v>553.29</v>
      </c>
      <c r="H263" s="5">
        <v>1659.87</v>
      </c>
      <c r="I263">
        <v>4.2</v>
      </c>
    </row>
    <row r="264" spans="1:9" x14ac:dyDescent="0.35">
      <c r="A264" t="s">
        <v>471</v>
      </c>
      <c r="B264" s="1">
        <v>46008</v>
      </c>
      <c r="C264" t="s">
        <v>16</v>
      </c>
      <c r="D264" t="s">
        <v>24</v>
      </c>
      <c r="E264" t="s">
        <v>44</v>
      </c>
      <c r="F264">
        <v>10</v>
      </c>
      <c r="G264" s="6">
        <v>441.85</v>
      </c>
      <c r="H264" s="5">
        <v>4418.5</v>
      </c>
      <c r="I264">
        <v>3.4</v>
      </c>
    </row>
    <row r="265" spans="1:9" x14ac:dyDescent="0.35">
      <c r="A265" t="s">
        <v>472</v>
      </c>
      <c r="B265" s="1">
        <v>45921</v>
      </c>
      <c r="C265" t="s">
        <v>11</v>
      </c>
      <c r="D265" t="s">
        <v>12</v>
      </c>
      <c r="E265" t="s">
        <v>90</v>
      </c>
      <c r="F265">
        <v>24</v>
      </c>
      <c r="G265" s="6">
        <v>485.5</v>
      </c>
      <c r="H265" s="5">
        <v>11652</v>
      </c>
      <c r="I265">
        <v>3.4</v>
      </c>
    </row>
    <row r="266" spans="1:9" x14ac:dyDescent="0.35">
      <c r="A266" t="s">
        <v>473</v>
      </c>
      <c r="B266" s="1">
        <v>45681</v>
      </c>
      <c r="C266" t="s">
        <v>11</v>
      </c>
      <c r="D266" t="s">
        <v>19</v>
      </c>
      <c r="E266" t="s">
        <v>20</v>
      </c>
      <c r="F266">
        <v>20</v>
      </c>
      <c r="G266" s="6">
        <v>609.20000000000005</v>
      </c>
      <c r="H266" s="5">
        <v>12184</v>
      </c>
      <c r="I266">
        <v>3.8</v>
      </c>
    </row>
    <row r="267" spans="1:9" x14ac:dyDescent="0.35">
      <c r="A267" t="s">
        <v>475</v>
      </c>
      <c r="B267" s="1">
        <v>45937</v>
      </c>
      <c r="C267" t="s">
        <v>38</v>
      </c>
      <c r="D267" t="s">
        <v>19</v>
      </c>
      <c r="E267" t="s">
        <v>28</v>
      </c>
      <c r="F267">
        <v>12</v>
      </c>
      <c r="G267" s="6">
        <v>851.79</v>
      </c>
      <c r="H267" s="5">
        <v>10221.48</v>
      </c>
      <c r="I267">
        <v>3.4</v>
      </c>
    </row>
    <row r="268" spans="1:9" x14ac:dyDescent="0.35">
      <c r="A268" t="s">
        <v>476</v>
      </c>
      <c r="B268" s="1">
        <v>45725</v>
      </c>
      <c r="C268" t="s">
        <v>38</v>
      </c>
      <c r="D268" t="s">
        <v>12</v>
      </c>
      <c r="E268" t="s">
        <v>17</v>
      </c>
      <c r="F268">
        <v>6</v>
      </c>
      <c r="G268" s="6">
        <v>456.93</v>
      </c>
      <c r="H268" s="5">
        <v>2741.58</v>
      </c>
      <c r="I268">
        <v>3.9</v>
      </c>
    </row>
    <row r="269" spans="1:9" x14ac:dyDescent="0.35">
      <c r="A269" t="s">
        <v>478</v>
      </c>
      <c r="B269" s="1">
        <v>45868</v>
      </c>
      <c r="C269" t="s">
        <v>16</v>
      </c>
      <c r="D269" t="s">
        <v>12</v>
      </c>
      <c r="E269" t="s">
        <v>90</v>
      </c>
      <c r="F269">
        <v>18</v>
      </c>
      <c r="G269" s="6">
        <v>1402.38</v>
      </c>
      <c r="H269" s="5">
        <v>25242.84</v>
      </c>
      <c r="I269">
        <v>3.8</v>
      </c>
    </row>
    <row r="270" spans="1:9" x14ac:dyDescent="0.35">
      <c r="A270" t="s">
        <v>480</v>
      </c>
      <c r="B270" s="1">
        <v>45755</v>
      </c>
      <c r="C270" t="s">
        <v>38</v>
      </c>
      <c r="D270" t="s">
        <v>12</v>
      </c>
      <c r="E270" t="s">
        <v>90</v>
      </c>
      <c r="F270">
        <v>9</v>
      </c>
      <c r="G270" s="6">
        <v>119.8</v>
      </c>
      <c r="H270" s="5">
        <v>1078.2</v>
      </c>
      <c r="I270">
        <v>4.5999999999999996</v>
      </c>
    </row>
    <row r="271" spans="1:9" x14ac:dyDescent="0.35">
      <c r="A271" t="s">
        <v>481</v>
      </c>
      <c r="B271" s="1">
        <v>45823</v>
      </c>
      <c r="C271" t="s">
        <v>16</v>
      </c>
      <c r="D271" t="s">
        <v>12</v>
      </c>
      <c r="E271" t="s">
        <v>13</v>
      </c>
      <c r="F271">
        <v>13</v>
      </c>
      <c r="G271" s="6">
        <v>180.97</v>
      </c>
      <c r="H271" s="5">
        <v>2352.61</v>
      </c>
      <c r="I271">
        <v>3.7</v>
      </c>
    </row>
    <row r="272" spans="1:9" x14ac:dyDescent="0.35">
      <c r="A272" t="s">
        <v>483</v>
      </c>
      <c r="B272" s="1">
        <v>45700</v>
      </c>
      <c r="C272" t="s">
        <v>38</v>
      </c>
      <c r="D272" t="s">
        <v>12</v>
      </c>
      <c r="E272" t="s">
        <v>90</v>
      </c>
      <c r="F272">
        <v>4</v>
      </c>
      <c r="G272" s="6">
        <v>716.59</v>
      </c>
      <c r="H272" s="5">
        <v>2866.36</v>
      </c>
      <c r="I272">
        <v>4.5</v>
      </c>
    </row>
    <row r="273" spans="1:9" x14ac:dyDescent="0.35">
      <c r="A273" t="s">
        <v>485</v>
      </c>
      <c r="B273" s="1">
        <v>45828</v>
      </c>
      <c r="C273" t="s">
        <v>16</v>
      </c>
      <c r="D273" t="s">
        <v>19</v>
      </c>
      <c r="E273" t="s">
        <v>28</v>
      </c>
      <c r="F273">
        <v>25</v>
      </c>
      <c r="G273" s="6">
        <v>406.78</v>
      </c>
      <c r="H273" s="5">
        <v>10169.5</v>
      </c>
      <c r="I273">
        <v>3.8</v>
      </c>
    </row>
    <row r="274" spans="1:9" x14ac:dyDescent="0.35">
      <c r="A274" t="s">
        <v>486</v>
      </c>
      <c r="B274" s="1">
        <v>45740</v>
      </c>
      <c r="C274" t="s">
        <v>23</v>
      </c>
      <c r="D274" t="s">
        <v>12</v>
      </c>
      <c r="E274" t="s">
        <v>90</v>
      </c>
      <c r="F274">
        <v>21</v>
      </c>
      <c r="G274" s="6">
        <v>1456.04</v>
      </c>
      <c r="H274" s="5">
        <v>30576.84</v>
      </c>
      <c r="I274">
        <v>3.7</v>
      </c>
    </row>
    <row r="275" spans="1:9" x14ac:dyDescent="0.35">
      <c r="A275" t="s">
        <v>488</v>
      </c>
      <c r="B275" s="1">
        <v>45758</v>
      </c>
      <c r="C275" t="s">
        <v>23</v>
      </c>
      <c r="D275" t="s">
        <v>24</v>
      </c>
      <c r="E275" t="s">
        <v>25</v>
      </c>
      <c r="F275">
        <v>17</v>
      </c>
      <c r="G275" s="6">
        <v>1003.09</v>
      </c>
      <c r="H275" s="5">
        <v>17052.53</v>
      </c>
      <c r="I275">
        <v>3.9</v>
      </c>
    </row>
    <row r="276" spans="1:9" x14ac:dyDescent="0.35">
      <c r="A276" t="s">
        <v>490</v>
      </c>
      <c r="B276" s="1">
        <v>45735</v>
      </c>
      <c r="C276" t="s">
        <v>38</v>
      </c>
      <c r="D276" t="s">
        <v>24</v>
      </c>
      <c r="E276" t="s">
        <v>25</v>
      </c>
      <c r="F276">
        <v>22</v>
      </c>
      <c r="G276" s="6">
        <v>446.93</v>
      </c>
      <c r="H276" s="5">
        <v>9832.4599999999991</v>
      </c>
      <c r="I276">
        <v>4.8</v>
      </c>
    </row>
    <row r="277" spans="1:9" x14ac:dyDescent="0.35">
      <c r="A277" t="s">
        <v>491</v>
      </c>
      <c r="B277" s="1">
        <v>45674</v>
      </c>
      <c r="C277" t="s">
        <v>23</v>
      </c>
      <c r="D277" t="s">
        <v>19</v>
      </c>
      <c r="E277" t="s">
        <v>31</v>
      </c>
      <c r="F277">
        <v>10</v>
      </c>
      <c r="G277" s="6">
        <v>214.86</v>
      </c>
      <c r="H277" s="5">
        <v>2148.6</v>
      </c>
      <c r="I277">
        <v>4.2</v>
      </c>
    </row>
    <row r="278" spans="1:9" x14ac:dyDescent="0.35">
      <c r="A278" t="s">
        <v>492</v>
      </c>
      <c r="B278" s="1">
        <v>45681</v>
      </c>
      <c r="C278" t="s">
        <v>11</v>
      </c>
      <c r="D278" t="s">
        <v>24</v>
      </c>
      <c r="E278" t="s">
        <v>69</v>
      </c>
      <c r="F278">
        <v>16</v>
      </c>
      <c r="G278" s="6">
        <v>843.46</v>
      </c>
      <c r="H278" s="5">
        <v>13495.36</v>
      </c>
      <c r="I278">
        <v>3.1</v>
      </c>
    </row>
    <row r="279" spans="1:9" x14ac:dyDescent="0.35">
      <c r="A279" t="s">
        <v>493</v>
      </c>
      <c r="B279" s="1">
        <v>45713</v>
      </c>
      <c r="C279" t="s">
        <v>23</v>
      </c>
      <c r="D279" t="s">
        <v>19</v>
      </c>
      <c r="E279" t="s">
        <v>28</v>
      </c>
      <c r="F279">
        <v>2</v>
      </c>
      <c r="G279" s="6">
        <v>1407.57</v>
      </c>
      <c r="H279" s="5">
        <v>2815.14</v>
      </c>
      <c r="I279">
        <v>4.0999999999999996</v>
      </c>
    </row>
    <row r="280" spans="1:9" x14ac:dyDescent="0.35">
      <c r="A280" t="s">
        <v>494</v>
      </c>
      <c r="B280" s="1">
        <v>45806</v>
      </c>
      <c r="C280" t="s">
        <v>11</v>
      </c>
      <c r="D280" t="s">
        <v>12</v>
      </c>
      <c r="E280" t="s">
        <v>17</v>
      </c>
      <c r="F280">
        <v>2</v>
      </c>
      <c r="G280" s="6">
        <v>119.85</v>
      </c>
      <c r="H280" s="5">
        <v>239.7</v>
      </c>
      <c r="I280">
        <v>4.9000000000000004</v>
      </c>
    </row>
    <row r="281" spans="1:9" x14ac:dyDescent="0.35">
      <c r="A281" t="s">
        <v>495</v>
      </c>
      <c r="B281" s="1">
        <v>45975</v>
      </c>
      <c r="C281" t="s">
        <v>16</v>
      </c>
      <c r="D281" t="s">
        <v>12</v>
      </c>
      <c r="E281" t="s">
        <v>13</v>
      </c>
      <c r="F281">
        <v>5</v>
      </c>
      <c r="G281" s="6">
        <v>11.95</v>
      </c>
      <c r="H281" s="5">
        <v>59.75</v>
      </c>
      <c r="I281">
        <v>3.5</v>
      </c>
    </row>
    <row r="282" spans="1:9" x14ac:dyDescent="0.35">
      <c r="A282" t="s">
        <v>497</v>
      </c>
      <c r="B282" s="1">
        <v>45660</v>
      </c>
      <c r="C282" t="s">
        <v>11</v>
      </c>
      <c r="D282" t="s">
        <v>19</v>
      </c>
      <c r="E282" t="s">
        <v>31</v>
      </c>
      <c r="F282">
        <v>24</v>
      </c>
      <c r="G282" s="6">
        <v>975.92</v>
      </c>
      <c r="H282" s="5">
        <v>23422.080000000002</v>
      </c>
      <c r="I282">
        <v>4</v>
      </c>
    </row>
    <row r="283" spans="1:9" x14ac:dyDescent="0.35">
      <c r="A283" t="s">
        <v>499</v>
      </c>
      <c r="B283" s="1">
        <v>45808</v>
      </c>
      <c r="C283" t="s">
        <v>38</v>
      </c>
      <c r="D283" t="s">
        <v>19</v>
      </c>
      <c r="E283" t="s">
        <v>20</v>
      </c>
      <c r="F283">
        <v>25</v>
      </c>
      <c r="G283" s="6">
        <v>60.85</v>
      </c>
      <c r="H283" s="5">
        <v>1521.25</v>
      </c>
      <c r="I283">
        <v>4.0999999999999996</v>
      </c>
    </row>
    <row r="284" spans="1:9" x14ac:dyDescent="0.35">
      <c r="A284" t="s">
        <v>500</v>
      </c>
      <c r="B284" s="1">
        <v>45860</v>
      </c>
      <c r="C284" t="s">
        <v>38</v>
      </c>
      <c r="D284" t="s">
        <v>24</v>
      </c>
      <c r="E284" t="s">
        <v>69</v>
      </c>
      <c r="F284">
        <v>11</v>
      </c>
      <c r="G284" s="6">
        <v>1250.3</v>
      </c>
      <c r="H284" s="5">
        <v>13753.3</v>
      </c>
      <c r="I284">
        <v>4</v>
      </c>
    </row>
    <row r="285" spans="1:9" x14ac:dyDescent="0.35">
      <c r="A285" t="s">
        <v>501</v>
      </c>
      <c r="B285" s="1">
        <v>45850</v>
      </c>
      <c r="C285" t="s">
        <v>38</v>
      </c>
      <c r="D285" t="s">
        <v>12</v>
      </c>
      <c r="E285" t="s">
        <v>13</v>
      </c>
      <c r="F285">
        <v>15</v>
      </c>
      <c r="G285" s="6">
        <v>5.58</v>
      </c>
      <c r="H285" s="5">
        <v>83.7</v>
      </c>
      <c r="I285">
        <v>3.7</v>
      </c>
    </row>
    <row r="286" spans="1:9" x14ac:dyDescent="0.35">
      <c r="A286" t="s">
        <v>503</v>
      </c>
      <c r="B286" s="1">
        <v>45998</v>
      </c>
      <c r="C286" t="s">
        <v>11</v>
      </c>
      <c r="D286" t="s">
        <v>24</v>
      </c>
      <c r="E286" t="s">
        <v>69</v>
      </c>
      <c r="F286">
        <v>12</v>
      </c>
      <c r="G286" s="6">
        <v>401.69</v>
      </c>
      <c r="H286" s="5">
        <v>4820.28</v>
      </c>
      <c r="I286">
        <v>3.6</v>
      </c>
    </row>
    <row r="287" spans="1:9" x14ac:dyDescent="0.35">
      <c r="A287" t="s">
        <v>505</v>
      </c>
      <c r="B287" s="1">
        <v>45779</v>
      </c>
      <c r="C287" t="s">
        <v>38</v>
      </c>
      <c r="D287" t="s">
        <v>12</v>
      </c>
      <c r="E287" t="s">
        <v>13</v>
      </c>
      <c r="F287">
        <v>14</v>
      </c>
      <c r="G287" s="6">
        <v>476.73</v>
      </c>
      <c r="H287" s="5">
        <v>6674.22</v>
      </c>
      <c r="I287">
        <v>3.7</v>
      </c>
    </row>
    <row r="288" spans="1:9" x14ac:dyDescent="0.35">
      <c r="A288" t="s">
        <v>506</v>
      </c>
      <c r="B288" s="1">
        <v>45787</v>
      </c>
      <c r="C288" t="s">
        <v>23</v>
      </c>
      <c r="D288" t="s">
        <v>12</v>
      </c>
      <c r="E288" t="s">
        <v>13</v>
      </c>
      <c r="F288">
        <v>8</v>
      </c>
      <c r="G288" s="6">
        <v>532.28</v>
      </c>
      <c r="H288" s="5">
        <v>4258.24</v>
      </c>
      <c r="I288">
        <v>4.4000000000000004</v>
      </c>
    </row>
    <row r="289" spans="1:9" x14ac:dyDescent="0.35">
      <c r="A289" t="s">
        <v>507</v>
      </c>
      <c r="B289" s="1">
        <v>45943</v>
      </c>
      <c r="C289" t="s">
        <v>38</v>
      </c>
      <c r="D289" t="s">
        <v>12</v>
      </c>
      <c r="E289" t="s">
        <v>17</v>
      </c>
      <c r="F289">
        <v>6</v>
      </c>
      <c r="G289" s="6">
        <v>840.35</v>
      </c>
      <c r="H289" s="5">
        <v>5042.1000000000004</v>
      </c>
      <c r="I289">
        <v>3.7</v>
      </c>
    </row>
    <row r="290" spans="1:9" x14ac:dyDescent="0.35">
      <c r="A290" t="s">
        <v>509</v>
      </c>
      <c r="B290" s="1">
        <v>45846</v>
      </c>
      <c r="C290" t="s">
        <v>23</v>
      </c>
      <c r="D290" t="s">
        <v>24</v>
      </c>
      <c r="E290" t="s">
        <v>44</v>
      </c>
      <c r="F290">
        <v>2</v>
      </c>
      <c r="G290" s="6">
        <v>771.6</v>
      </c>
      <c r="H290" s="5">
        <v>1543.2</v>
      </c>
      <c r="I290">
        <v>4</v>
      </c>
    </row>
    <row r="291" spans="1:9" x14ac:dyDescent="0.35">
      <c r="A291" t="s">
        <v>510</v>
      </c>
      <c r="B291" s="1">
        <v>45833</v>
      </c>
      <c r="C291" t="s">
        <v>16</v>
      </c>
      <c r="D291" t="s">
        <v>19</v>
      </c>
      <c r="E291" t="s">
        <v>31</v>
      </c>
      <c r="F291">
        <v>10</v>
      </c>
      <c r="G291" s="6">
        <v>276.10000000000002</v>
      </c>
      <c r="H291" s="5">
        <v>2761</v>
      </c>
      <c r="I291">
        <v>3</v>
      </c>
    </row>
    <row r="292" spans="1:9" x14ac:dyDescent="0.35">
      <c r="A292" t="s">
        <v>511</v>
      </c>
      <c r="B292" s="1">
        <v>45870</v>
      </c>
      <c r="C292" t="s">
        <v>16</v>
      </c>
      <c r="D292" t="s">
        <v>24</v>
      </c>
      <c r="E292" t="s">
        <v>69</v>
      </c>
      <c r="F292">
        <v>5</v>
      </c>
      <c r="G292" s="6">
        <v>952.06</v>
      </c>
      <c r="H292" s="5">
        <v>4760.3</v>
      </c>
      <c r="I292">
        <v>4.9000000000000004</v>
      </c>
    </row>
    <row r="293" spans="1:9" x14ac:dyDescent="0.35">
      <c r="A293" t="s">
        <v>512</v>
      </c>
      <c r="B293" s="1">
        <v>45716</v>
      </c>
      <c r="C293" t="s">
        <v>16</v>
      </c>
      <c r="D293" t="s">
        <v>12</v>
      </c>
      <c r="E293" t="s">
        <v>90</v>
      </c>
      <c r="F293">
        <v>1</v>
      </c>
      <c r="G293" s="6">
        <v>788.6</v>
      </c>
      <c r="H293" s="5">
        <v>788.6</v>
      </c>
      <c r="I293">
        <v>4.3</v>
      </c>
    </row>
    <row r="294" spans="1:9" x14ac:dyDescent="0.35">
      <c r="A294" t="s">
        <v>513</v>
      </c>
      <c r="B294" s="1">
        <v>45684</v>
      </c>
      <c r="C294" t="s">
        <v>11</v>
      </c>
      <c r="D294" t="s">
        <v>12</v>
      </c>
      <c r="E294" t="s">
        <v>13</v>
      </c>
      <c r="F294">
        <v>16</v>
      </c>
      <c r="G294" s="6">
        <v>1238.92</v>
      </c>
      <c r="H294" s="5">
        <v>19822.72</v>
      </c>
      <c r="I294">
        <v>4.2</v>
      </c>
    </row>
    <row r="295" spans="1:9" x14ac:dyDescent="0.35">
      <c r="A295" t="s">
        <v>515</v>
      </c>
      <c r="B295" s="1">
        <v>45703</v>
      </c>
      <c r="C295" t="s">
        <v>11</v>
      </c>
      <c r="D295" t="s">
        <v>19</v>
      </c>
      <c r="E295" t="s">
        <v>31</v>
      </c>
      <c r="F295">
        <v>22</v>
      </c>
      <c r="G295" s="6">
        <v>1199.77</v>
      </c>
      <c r="H295" s="5">
        <v>26394.94</v>
      </c>
      <c r="I295">
        <v>4.5</v>
      </c>
    </row>
    <row r="296" spans="1:9" x14ac:dyDescent="0.35">
      <c r="A296" t="s">
        <v>517</v>
      </c>
      <c r="B296" s="1">
        <v>45741</v>
      </c>
      <c r="C296" t="s">
        <v>11</v>
      </c>
      <c r="D296" t="s">
        <v>24</v>
      </c>
      <c r="E296" t="s">
        <v>69</v>
      </c>
      <c r="F296">
        <v>24</v>
      </c>
      <c r="G296" s="6">
        <v>1164.3699999999999</v>
      </c>
      <c r="H296" s="5">
        <v>27944.880000000001</v>
      </c>
      <c r="I296">
        <v>3.5</v>
      </c>
    </row>
    <row r="297" spans="1:9" x14ac:dyDescent="0.35">
      <c r="A297" t="s">
        <v>518</v>
      </c>
      <c r="B297" s="1">
        <v>45909</v>
      </c>
      <c r="C297" t="s">
        <v>11</v>
      </c>
      <c r="D297" t="s">
        <v>19</v>
      </c>
      <c r="E297" t="s">
        <v>28</v>
      </c>
      <c r="F297">
        <v>6</v>
      </c>
      <c r="G297" s="6">
        <v>74.84</v>
      </c>
      <c r="H297" s="5">
        <v>449.04</v>
      </c>
      <c r="I297">
        <v>4.9000000000000004</v>
      </c>
    </row>
    <row r="298" spans="1:9" x14ac:dyDescent="0.35">
      <c r="A298" t="s">
        <v>520</v>
      </c>
      <c r="B298" s="1">
        <v>45920</v>
      </c>
      <c r="C298" t="s">
        <v>23</v>
      </c>
      <c r="D298" t="s">
        <v>19</v>
      </c>
      <c r="E298" t="s">
        <v>20</v>
      </c>
      <c r="F298">
        <v>14</v>
      </c>
      <c r="G298" s="6">
        <v>146.1</v>
      </c>
      <c r="H298" s="5">
        <v>2045.4</v>
      </c>
      <c r="I298">
        <v>3.3</v>
      </c>
    </row>
    <row r="299" spans="1:9" x14ac:dyDescent="0.35">
      <c r="A299" t="s">
        <v>521</v>
      </c>
      <c r="B299" s="1">
        <v>46013</v>
      </c>
      <c r="C299" t="s">
        <v>23</v>
      </c>
      <c r="D299" t="s">
        <v>24</v>
      </c>
      <c r="E299" t="s">
        <v>25</v>
      </c>
      <c r="F299">
        <v>11</v>
      </c>
      <c r="G299" s="6">
        <v>318.83999999999997</v>
      </c>
      <c r="H299" s="5">
        <v>3507.24</v>
      </c>
      <c r="I299">
        <v>4.3</v>
      </c>
    </row>
    <row r="300" spans="1:9" x14ac:dyDescent="0.35">
      <c r="A300" t="s">
        <v>522</v>
      </c>
      <c r="B300" s="1">
        <v>45778</v>
      </c>
      <c r="C300" t="s">
        <v>23</v>
      </c>
      <c r="D300" t="s">
        <v>19</v>
      </c>
      <c r="E300" t="s">
        <v>20</v>
      </c>
      <c r="F300">
        <v>13</v>
      </c>
      <c r="G300" s="6">
        <v>334.9</v>
      </c>
      <c r="H300" s="5">
        <v>4353.7</v>
      </c>
      <c r="I300">
        <v>4.9000000000000004</v>
      </c>
    </row>
    <row r="301" spans="1:9" x14ac:dyDescent="0.35">
      <c r="A301" t="s">
        <v>524</v>
      </c>
      <c r="B301" s="1">
        <v>45708</v>
      </c>
      <c r="C301" t="s">
        <v>11</v>
      </c>
      <c r="D301" t="s">
        <v>24</v>
      </c>
      <c r="E301" t="s">
        <v>44</v>
      </c>
      <c r="F301">
        <v>7</v>
      </c>
      <c r="G301" s="6">
        <v>896.55</v>
      </c>
      <c r="H301" s="5">
        <v>6275.85</v>
      </c>
      <c r="I301">
        <v>3.8</v>
      </c>
    </row>
    <row r="302" spans="1:9" x14ac:dyDescent="0.35">
      <c r="A302" t="s">
        <v>526</v>
      </c>
      <c r="B302" s="1">
        <v>45681</v>
      </c>
      <c r="C302" t="s">
        <v>16</v>
      </c>
      <c r="D302" t="s">
        <v>24</v>
      </c>
      <c r="E302" t="s">
        <v>44</v>
      </c>
      <c r="F302">
        <v>21</v>
      </c>
      <c r="G302" s="6">
        <v>1045.2</v>
      </c>
      <c r="H302" s="5">
        <v>21949.200000000001</v>
      </c>
      <c r="I302">
        <v>4.0999999999999996</v>
      </c>
    </row>
    <row r="303" spans="1:9" x14ac:dyDescent="0.35">
      <c r="A303" t="s">
        <v>527</v>
      </c>
      <c r="B303" s="1">
        <v>45970</v>
      </c>
      <c r="C303" t="s">
        <v>16</v>
      </c>
      <c r="D303" t="s">
        <v>24</v>
      </c>
      <c r="E303" t="s">
        <v>25</v>
      </c>
      <c r="F303">
        <v>16</v>
      </c>
      <c r="G303" s="6">
        <v>671.09</v>
      </c>
      <c r="H303" s="5">
        <v>10737.44</v>
      </c>
      <c r="I303">
        <v>3.7</v>
      </c>
    </row>
    <row r="304" spans="1:9" x14ac:dyDescent="0.35">
      <c r="A304" t="s">
        <v>528</v>
      </c>
      <c r="B304" s="1">
        <v>45747</v>
      </c>
      <c r="C304" t="s">
        <v>11</v>
      </c>
      <c r="D304" t="s">
        <v>24</v>
      </c>
      <c r="E304" t="s">
        <v>25</v>
      </c>
      <c r="F304">
        <v>24</v>
      </c>
      <c r="G304" s="6">
        <v>736.19</v>
      </c>
      <c r="H304" s="5">
        <v>17668.560000000001</v>
      </c>
      <c r="I304">
        <v>4.8</v>
      </c>
    </row>
    <row r="305" spans="1:9" x14ac:dyDescent="0.35">
      <c r="A305" t="s">
        <v>529</v>
      </c>
      <c r="B305" s="1">
        <v>45728</v>
      </c>
      <c r="C305" t="s">
        <v>23</v>
      </c>
      <c r="D305" t="s">
        <v>12</v>
      </c>
      <c r="E305" t="s">
        <v>17</v>
      </c>
      <c r="F305">
        <v>23</v>
      </c>
      <c r="G305" s="6">
        <v>125.59</v>
      </c>
      <c r="H305" s="5">
        <v>2888.57</v>
      </c>
      <c r="I305">
        <v>3.8</v>
      </c>
    </row>
    <row r="306" spans="1:9" x14ac:dyDescent="0.35">
      <c r="A306" t="s">
        <v>531</v>
      </c>
      <c r="B306" s="1">
        <v>45757</v>
      </c>
      <c r="C306" t="s">
        <v>23</v>
      </c>
      <c r="D306" t="s">
        <v>12</v>
      </c>
      <c r="E306" t="s">
        <v>90</v>
      </c>
      <c r="F306">
        <v>9</v>
      </c>
      <c r="G306" s="6">
        <v>1311.44</v>
      </c>
      <c r="H306" s="5">
        <v>11802.96</v>
      </c>
      <c r="I306">
        <v>4.4000000000000004</v>
      </c>
    </row>
    <row r="307" spans="1:9" x14ac:dyDescent="0.35">
      <c r="A307" t="s">
        <v>533</v>
      </c>
      <c r="B307" s="1">
        <v>45958</v>
      </c>
      <c r="C307" t="s">
        <v>23</v>
      </c>
      <c r="D307" t="s">
        <v>19</v>
      </c>
      <c r="E307" t="s">
        <v>28</v>
      </c>
      <c r="F307">
        <v>6</v>
      </c>
      <c r="G307" s="6">
        <v>432.03</v>
      </c>
      <c r="H307" s="5">
        <v>2592.1799999999998</v>
      </c>
      <c r="I307">
        <v>4.7</v>
      </c>
    </row>
    <row r="308" spans="1:9" x14ac:dyDescent="0.35">
      <c r="A308" t="s">
        <v>535</v>
      </c>
      <c r="B308" s="1">
        <v>45900</v>
      </c>
      <c r="C308" t="s">
        <v>11</v>
      </c>
      <c r="D308" t="s">
        <v>24</v>
      </c>
      <c r="E308" t="s">
        <v>44</v>
      </c>
      <c r="F308">
        <v>4</v>
      </c>
      <c r="G308" s="6">
        <v>1097.44</v>
      </c>
      <c r="H308" s="5">
        <v>4389.76</v>
      </c>
      <c r="I308">
        <v>3.3</v>
      </c>
    </row>
    <row r="309" spans="1:9" x14ac:dyDescent="0.35">
      <c r="A309" t="s">
        <v>537</v>
      </c>
      <c r="B309" s="1">
        <v>45900</v>
      </c>
      <c r="C309" t="s">
        <v>38</v>
      </c>
      <c r="D309" t="s">
        <v>12</v>
      </c>
      <c r="E309" t="s">
        <v>17</v>
      </c>
      <c r="F309">
        <v>1</v>
      </c>
      <c r="G309" s="6">
        <v>303.75</v>
      </c>
      <c r="H309" s="5">
        <v>303.75</v>
      </c>
      <c r="I309">
        <v>4.0999999999999996</v>
      </c>
    </row>
    <row r="310" spans="1:9" x14ac:dyDescent="0.35">
      <c r="A310" t="s">
        <v>538</v>
      </c>
      <c r="B310" s="1">
        <v>45787</v>
      </c>
      <c r="C310" t="s">
        <v>16</v>
      </c>
      <c r="D310" t="s">
        <v>19</v>
      </c>
      <c r="E310" t="s">
        <v>31</v>
      </c>
      <c r="F310">
        <v>2</v>
      </c>
      <c r="G310" s="6">
        <v>132.80000000000001</v>
      </c>
      <c r="H310" s="5">
        <v>265.60000000000002</v>
      </c>
      <c r="I310">
        <v>3.3</v>
      </c>
    </row>
    <row r="311" spans="1:9" x14ac:dyDescent="0.35">
      <c r="A311" t="s">
        <v>539</v>
      </c>
      <c r="B311" s="1">
        <v>45939</v>
      </c>
      <c r="C311" t="s">
        <v>11</v>
      </c>
      <c r="D311" t="s">
        <v>19</v>
      </c>
      <c r="E311" t="s">
        <v>31</v>
      </c>
      <c r="F311">
        <v>16</v>
      </c>
      <c r="G311" s="6">
        <v>1391.86</v>
      </c>
      <c r="H311" s="5">
        <v>22269.759999999998</v>
      </c>
      <c r="I311">
        <v>4.2</v>
      </c>
    </row>
    <row r="312" spans="1:9" x14ac:dyDescent="0.35">
      <c r="A312" t="s">
        <v>541</v>
      </c>
      <c r="B312" s="1">
        <v>45836</v>
      </c>
      <c r="C312" t="s">
        <v>23</v>
      </c>
      <c r="D312" t="s">
        <v>24</v>
      </c>
      <c r="E312" t="s">
        <v>25</v>
      </c>
      <c r="F312">
        <v>19</v>
      </c>
      <c r="G312" s="6">
        <v>363.58</v>
      </c>
      <c r="H312" s="5">
        <v>6908.02</v>
      </c>
      <c r="I312">
        <v>3.2</v>
      </c>
    </row>
    <row r="313" spans="1:9" x14ac:dyDescent="0.35">
      <c r="A313" t="s">
        <v>542</v>
      </c>
      <c r="B313" s="1">
        <v>45745</v>
      </c>
      <c r="C313" t="s">
        <v>11</v>
      </c>
      <c r="D313" t="s">
        <v>24</v>
      </c>
      <c r="E313" t="s">
        <v>25</v>
      </c>
      <c r="F313">
        <v>7</v>
      </c>
      <c r="G313" s="6">
        <v>902.47</v>
      </c>
      <c r="H313" s="5">
        <v>6317.29</v>
      </c>
      <c r="I313">
        <v>3.4</v>
      </c>
    </row>
    <row r="314" spans="1:9" x14ac:dyDescent="0.35">
      <c r="A314" t="s">
        <v>544</v>
      </c>
      <c r="B314" s="1">
        <v>45701</v>
      </c>
      <c r="C314" t="s">
        <v>16</v>
      </c>
      <c r="D314" t="s">
        <v>19</v>
      </c>
      <c r="E314" t="s">
        <v>20</v>
      </c>
      <c r="F314">
        <v>14</v>
      </c>
      <c r="G314" s="6">
        <v>1472.61</v>
      </c>
      <c r="H314" s="5">
        <v>20616.54</v>
      </c>
      <c r="I314">
        <v>3.9</v>
      </c>
    </row>
    <row r="315" spans="1:9" x14ac:dyDescent="0.35">
      <c r="A315" t="s">
        <v>545</v>
      </c>
      <c r="B315" s="1">
        <v>45936</v>
      </c>
      <c r="C315" t="s">
        <v>38</v>
      </c>
      <c r="D315" t="s">
        <v>19</v>
      </c>
      <c r="E315" t="s">
        <v>28</v>
      </c>
      <c r="F315">
        <v>4</v>
      </c>
      <c r="G315" s="6">
        <v>653.47</v>
      </c>
      <c r="H315" s="5">
        <v>2613.88</v>
      </c>
      <c r="I315">
        <v>3.1</v>
      </c>
    </row>
    <row r="316" spans="1:9" x14ac:dyDescent="0.35">
      <c r="A316" t="s">
        <v>547</v>
      </c>
      <c r="B316" s="1">
        <v>45773</v>
      </c>
      <c r="C316" t="s">
        <v>38</v>
      </c>
      <c r="D316" t="s">
        <v>12</v>
      </c>
      <c r="E316" t="s">
        <v>17</v>
      </c>
      <c r="F316">
        <v>4</v>
      </c>
      <c r="G316" s="6">
        <v>116.51</v>
      </c>
      <c r="H316" s="5">
        <v>466.04</v>
      </c>
      <c r="I316">
        <v>3.6</v>
      </c>
    </row>
    <row r="317" spans="1:9" x14ac:dyDescent="0.35">
      <c r="A317" t="s">
        <v>548</v>
      </c>
      <c r="B317" s="1">
        <v>45759</v>
      </c>
      <c r="C317" t="s">
        <v>11</v>
      </c>
      <c r="D317" t="s">
        <v>24</v>
      </c>
      <c r="E317" t="s">
        <v>44</v>
      </c>
      <c r="F317">
        <v>22</v>
      </c>
      <c r="G317" s="6">
        <v>917.82</v>
      </c>
      <c r="H317" s="5">
        <v>20192.04</v>
      </c>
      <c r="I317">
        <v>3.2</v>
      </c>
    </row>
    <row r="318" spans="1:9" x14ac:dyDescent="0.35">
      <c r="A318" t="s">
        <v>550</v>
      </c>
      <c r="B318" s="1">
        <v>45944</v>
      </c>
      <c r="C318" t="s">
        <v>11</v>
      </c>
      <c r="D318" t="s">
        <v>19</v>
      </c>
      <c r="E318" t="s">
        <v>31</v>
      </c>
      <c r="F318">
        <v>16</v>
      </c>
      <c r="G318" s="6">
        <v>1482.59</v>
      </c>
      <c r="H318" s="5">
        <v>23721.439999999999</v>
      </c>
      <c r="I318">
        <v>4.0999999999999996</v>
      </c>
    </row>
    <row r="319" spans="1:9" x14ac:dyDescent="0.35">
      <c r="A319" t="s">
        <v>551</v>
      </c>
      <c r="B319" s="1">
        <v>45737</v>
      </c>
      <c r="C319" t="s">
        <v>11</v>
      </c>
      <c r="D319" t="s">
        <v>19</v>
      </c>
      <c r="E319" t="s">
        <v>28</v>
      </c>
      <c r="F319">
        <v>5</v>
      </c>
      <c r="G319" s="6">
        <v>932.42</v>
      </c>
      <c r="H319" s="5">
        <v>4662.1000000000004</v>
      </c>
      <c r="I319">
        <v>3.7</v>
      </c>
    </row>
    <row r="320" spans="1:9" x14ac:dyDescent="0.35">
      <c r="A320" t="s">
        <v>552</v>
      </c>
      <c r="B320" s="1">
        <v>45679</v>
      </c>
      <c r="C320" t="s">
        <v>16</v>
      </c>
      <c r="D320" t="s">
        <v>19</v>
      </c>
      <c r="E320" t="s">
        <v>31</v>
      </c>
      <c r="F320">
        <v>22</v>
      </c>
      <c r="G320" s="6">
        <v>154.9</v>
      </c>
      <c r="H320" s="5">
        <v>3407.8</v>
      </c>
      <c r="I320">
        <v>3.8</v>
      </c>
    </row>
    <row r="321" spans="1:9" x14ac:dyDescent="0.35">
      <c r="A321" t="s">
        <v>553</v>
      </c>
      <c r="B321" s="1">
        <v>45848</v>
      </c>
      <c r="C321" t="s">
        <v>16</v>
      </c>
      <c r="D321" t="s">
        <v>12</v>
      </c>
      <c r="E321" t="s">
        <v>90</v>
      </c>
      <c r="F321">
        <v>5</v>
      </c>
      <c r="G321" s="6">
        <v>1303.3699999999999</v>
      </c>
      <c r="H321" s="5">
        <v>6516.85</v>
      </c>
      <c r="I321">
        <v>4.2</v>
      </c>
    </row>
    <row r="322" spans="1:9" x14ac:dyDescent="0.35">
      <c r="A322" t="s">
        <v>554</v>
      </c>
      <c r="B322" s="1">
        <v>45926</v>
      </c>
      <c r="C322" t="s">
        <v>38</v>
      </c>
      <c r="D322" t="s">
        <v>24</v>
      </c>
      <c r="E322" t="s">
        <v>44</v>
      </c>
      <c r="F322">
        <v>20</v>
      </c>
      <c r="G322" s="6">
        <v>1375.2</v>
      </c>
      <c r="H322" s="5">
        <v>27504</v>
      </c>
      <c r="I322">
        <v>4.9000000000000004</v>
      </c>
    </row>
    <row r="323" spans="1:9" x14ac:dyDescent="0.35">
      <c r="A323" t="s">
        <v>555</v>
      </c>
      <c r="B323" s="1">
        <v>45695</v>
      </c>
      <c r="C323" t="s">
        <v>38</v>
      </c>
      <c r="D323" t="s">
        <v>19</v>
      </c>
      <c r="E323" t="s">
        <v>28</v>
      </c>
      <c r="F323">
        <v>15</v>
      </c>
      <c r="G323" s="6">
        <v>1229.04</v>
      </c>
      <c r="H323" s="5">
        <v>18435.599999999999</v>
      </c>
      <c r="I323">
        <v>3.4</v>
      </c>
    </row>
    <row r="324" spans="1:9" x14ac:dyDescent="0.35">
      <c r="A324" t="s">
        <v>557</v>
      </c>
      <c r="B324" s="1">
        <v>45786</v>
      </c>
      <c r="C324" t="s">
        <v>16</v>
      </c>
      <c r="D324" t="s">
        <v>24</v>
      </c>
      <c r="E324" t="s">
        <v>69</v>
      </c>
      <c r="F324">
        <v>24</v>
      </c>
      <c r="G324" s="6">
        <v>1317.58</v>
      </c>
      <c r="H324" s="5">
        <v>31621.919999999998</v>
      </c>
      <c r="I324">
        <v>3.5</v>
      </c>
    </row>
    <row r="325" spans="1:9" x14ac:dyDescent="0.35">
      <c r="A325" t="s">
        <v>559</v>
      </c>
      <c r="B325" s="1">
        <v>45702</v>
      </c>
      <c r="C325" t="s">
        <v>38</v>
      </c>
      <c r="D325" t="s">
        <v>12</v>
      </c>
      <c r="E325" t="s">
        <v>13</v>
      </c>
      <c r="F325">
        <v>14</v>
      </c>
      <c r="G325" s="6">
        <v>829.2</v>
      </c>
      <c r="H325" s="5">
        <v>11608.8</v>
      </c>
      <c r="I325">
        <v>3.6</v>
      </c>
    </row>
    <row r="326" spans="1:9" x14ac:dyDescent="0.35">
      <c r="A326" t="s">
        <v>560</v>
      </c>
      <c r="B326" s="1">
        <v>45677</v>
      </c>
      <c r="C326" t="s">
        <v>11</v>
      </c>
      <c r="D326" t="s">
        <v>12</v>
      </c>
      <c r="E326" t="s">
        <v>90</v>
      </c>
      <c r="F326">
        <v>18</v>
      </c>
      <c r="G326" s="6">
        <v>1149.1099999999999</v>
      </c>
      <c r="H326" s="5">
        <v>20683.98</v>
      </c>
      <c r="I326">
        <v>4</v>
      </c>
    </row>
    <row r="327" spans="1:9" x14ac:dyDescent="0.35">
      <c r="A327" t="s">
        <v>561</v>
      </c>
      <c r="B327" s="1">
        <v>45933</v>
      </c>
      <c r="C327" t="s">
        <v>38</v>
      </c>
      <c r="D327" t="s">
        <v>24</v>
      </c>
      <c r="E327" t="s">
        <v>44</v>
      </c>
      <c r="F327">
        <v>20</v>
      </c>
      <c r="G327" s="6">
        <v>1292.96</v>
      </c>
      <c r="H327" s="5">
        <v>25859.200000000001</v>
      </c>
      <c r="I327">
        <v>4.3</v>
      </c>
    </row>
    <row r="328" spans="1:9" x14ac:dyDescent="0.35">
      <c r="A328" t="s">
        <v>563</v>
      </c>
      <c r="B328" s="1">
        <v>45806</v>
      </c>
      <c r="C328" t="s">
        <v>16</v>
      </c>
      <c r="D328" t="s">
        <v>12</v>
      </c>
      <c r="E328" t="s">
        <v>13</v>
      </c>
      <c r="F328">
        <v>22</v>
      </c>
      <c r="G328" s="6">
        <v>659.2</v>
      </c>
      <c r="H328" s="5">
        <v>14502.4</v>
      </c>
      <c r="I328">
        <v>4</v>
      </c>
    </row>
    <row r="329" spans="1:9" x14ac:dyDescent="0.35">
      <c r="A329" t="s">
        <v>564</v>
      </c>
      <c r="B329" s="1">
        <v>45794</v>
      </c>
      <c r="C329" t="s">
        <v>23</v>
      </c>
      <c r="D329" t="s">
        <v>24</v>
      </c>
      <c r="E329" t="s">
        <v>44</v>
      </c>
      <c r="F329">
        <v>21</v>
      </c>
      <c r="G329" s="6">
        <v>1014.3</v>
      </c>
      <c r="H329" s="5">
        <v>21300.3</v>
      </c>
      <c r="I329">
        <v>3</v>
      </c>
    </row>
    <row r="330" spans="1:9" x14ac:dyDescent="0.35">
      <c r="A330" t="s">
        <v>566</v>
      </c>
      <c r="B330" s="1">
        <v>45997</v>
      </c>
      <c r="C330" t="s">
        <v>38</v>
      </c>
      <c r="D330" t="s">
        <v>24</v>
      </c>
      <c r="E330" t="s">
        <v>69</v>
      </c>
      <c r="F330">
        <v>3</v>
      </c>
      <c r="G330" s="6">
        <v>1454.74</v>
      </c>
      <c r="H330" s="5">
        <v>4364.22</v>
      </c>
      <c r="I330">
        <v>3.3</v>
      </c>
    </row>
    <row r="331" spans="1:9" x14ac:dyDescent="0.35">
      <c r="A331" t="s">
        <v>568</v>
      </c>
      <c r="B331" s="1">
        <v>45765</v>
      </c>
      <c r="C331" t="s">
        <v>38</v>
      </c>
      <c r="D331" t="s">
        <v>19</v>
      </c>
      <c r="E331" t="s">
        <v>20</v>
      </c>
      <c r="F331">
        <v>11</v>
      </c>
      <c r="G331" s="6">
        <v>626.17999999999995</v>
      </c>
      <c r="H331" s="5">
        <v>6887.98</v>
      </c>
      <c r="I331">
        <v>3.9</v>
      </c>
    </row>
    <row r="332" spans="1:9" x14ac:dyDescent="0.35">
      <c r="A332" t="s">
        <v>570</v>
      </c>
      <c r="B332" s="1">
        <v>45663</v>
      </c>
      <c r="C332" t="s">
        <v>38</v>
      </c>
      <c r="D332" t="s">
        <v>12</v>
      </c>
      <c r="E332" t="s">
        <v>13</v>
      </c>
      <c r="F332">
        <v>18</v>
      </c>
      <c r="G332" s="6">
        <v>1191.29</v>
      </c>
      <c r="H332" s="5">
        <v>21443.22</v>
      </c>
      <c r="I332">
        <v>4.0999999999999996</v>
      </c>
    </row>
    <row r="333" spans="1:9" x14ac:dyDescent="0.35">
      <c r="A333" t="s">
        <v>571</v>
      </c>
      <c r="B333" s="1">
        <v>45696</v>
      </c>
      <c r="C333" t="s">
        <v>23</v>
      </c>
      <c r="D333" t="s">
        <v>24</v>
      </c>
      <c r="E333" t="s">
        <v>44</v>
      </c>
      <c r="F333">
        <v>14</v>
      </c>
      <c r="G333" s="6">
        <v>234.57</v>
      </c>
      <c r="H333" s="5">
        <v>3283.98</v>
      </c>
      <c r="I333">
        <v>3.8</v>
      </c>
    </row>
    <row r="334" spans="1:9" x14ac:dyDescent="0.35">
      <c r="A334" t="s">
        <v>573</v>
      </c>
      <c r="B334" s="1">
        <v>45678</v>
      </c>
      <c r="C334" t="s">
        <v>23</v>
      </c>
      <c r="D334" t="s">
        <v>19</v>
      </c>
      <c r="E334" t="s">
        <v>28</v>
      </c>
      <c r="F334">
        <v>17</v>
      </c>
      <c r="G334" s="6">
        <v>852.79</v>
      </c>
      <c r="H334" s="5">
        <v>14497.43</v>
      </c>
      <c r="I334">
        <v>4</v>
      </c>
    </row>
    <row r="335" spans="1:9" x14ac:dyDescent="0.35">
      <c r="A335" t="s">
        <v>575</v>
      </c>
      <c r="B335" s="1">
        <v>45680</v>
      </c>
      <c r="C335" t="s">
        <v>11</v>
      </c>
      <c r="D335" t="s">
        <v>19</v>
      </c>
      <c r="E335" t="s">
        <v>31</v>
      </c>
      <c r="F335">
        <v>9</v>
      </c>
      <c r="G335" s="6">
        <v>289.94</v>
      </c>
      <c r="H335" s="5">
        <v>2609.46</v>
      </c>
      <c r="I335">
        <v>4.2</v>
      </c>
    </row>
    <row r="336" spans="1:9" x14ac:dyDescent="0.35">
      <c r="A336" t="s">
        <v>577</v>
      </c>
      <c r="B336" s="1">
        <v>45867</v>
      </c>
      <c r="C336" t="s">
        <v>16</v>
      </c>
      <c r="D336" t="s">
        <v>12</v>
      </c>
      <c r="E336" t="s">
        <v>90</v>
      </c>
      <c r="F336">
        <v>3</v>
      </c>
      <c r="G336" s="6">
        <v>1329.81</v>
      </c>
      <c r="H336" s="5">
        <v>3989.43</v>
      </c>
      <c r="I336">
        <v>3.8</v>
      </c>
    </row>
    <row r="337" spans="1:9" x14ac:dyDescent="0.35">
      <c r="A337" t="s">
        <v>579</v>
      </c>
      <c r="B337" s="1">
        <v>46019</v>
      </c>
      <c r="C337" t="s">
        <v>11</v>
      </c>
      <c r="D337" t="s">
        <v>24</v>
      </c>
      <c r="E337" t="s">
        <v>25</v>
      </c>
      <c r="F337">
        <v>22</v>
      </c>
      <c r="G337" s="6">
        <v>645.72</v>
      </c>
      <c r="H337" s="5">
        <v>14205.84</v>
      </c>
      <c r="I337">
        <v>3.1</v>
      </c>
    </row>
    <row r="338" spans="1:9" x14ac:dyDescent="0.35">
      <c r="A338" t="s">
        <v>580</v>
      </c>
      <c r="B338" s="1">
        <v>45969</v>
      </c>
      <c r="C338" t="s">
        <v>23</v>
      </c>
      <c r="D338" t="s">
        <v>24</v>
      </c>
      <c r="E338" t="s">
        <v>44</v>
      </c>
      <c r="F338">
        <v>13</v>
      </c>
      <c r="G338" s="6">
        <v>716.05</v>
      </c>
      <c r="H338" s="5">
        <v>9308.65</v>
      </c>
      <c r="I338">
        <v>3.7</v>
      </c>
    </row>
    <row r="339" spans="1:9" x14ac:dyDescent="0.35">
      <c r="A339" t="s">
        <v>582</v>
      </c>
      <c r="B339" s="1">
        <v>45746</v>
      </c>
      <c r="C339" t="s">
        <v>23</v>
      </c>
      <c r="D339" t="s">
        <v>19</v>
      </c>
      <c r="E339" t="s">
        <v>31</v>
      </c>
      <c r="F339">
        <v>19</v>
      </c>
      <c r="G339" s="6">
        <v>1078.3599999999999</v>
      </c>
      <c r="H339" s="5">
        <v>20488.84</v>
      </c>
      <c r="I339">
        <v>3.6</v>
      </c>
    </row>
    <row r="340" spans="1:9" x14ac:dyDescent="0.35">
      <c r="A340" t="s">
        <v>584</v>
      </c>
      <c r="B340" s="1">
        <v>45795</v>
      </c>
      <c r="C340" t="s">
        <v>23</v>
      </c>
      <c r="D340" t="s">
        <v>12</v>
      </c>
      <c r="E340" t="s">
        <v>17</v>
      </c>
      <c r="F340">
        <v>21</v>
      </c>
      <c r="G340" s="6">
        <v>242.67</v>
      </c>
      <c r="H340" s="5">
        <v>5096.07</v>
      </c>
      <c r="I340">
        <v>3.3</v>
      </c>
    </row>
    <row r="341" spans="1:9" x14ac:dyDescent="0.35">
      <c r="A341" t="s">
        <v>585</v>
      </c>
      <c r="B341" s="1">
        <v>45932</v>
      </c>
      <c r="C341" t="s">
        <v>38</v>
      </c>
      <c r="D341" t="s">
        <v>19</v>
      </c>
      <c r="E341" t="s">
        <v>31</v>
      </c>
      <c r="F341">
        <v>1</v>
      </c>
      <c r="G341" s="6">
        <v>1357.15</v>
      </c>
      <c r="H341" s="5">
        <v>1357.15</v>
      </c>
      <c r="I341">
        <v>4.0999999999999996</v>
      </c>
    </row>
    <row r="342" spans="1:9" x14ac:dyDescent="0.35">
      <c r="A342" t="s">
        <v>586</v>
      </c>
      <c r="B342" s="1">
        <v>45944</v>
      </c>
      <c r="C342" t="s">
        <v>11</v>
      </c>
      <c r="D342" t="s">
        <v>19</v>
      </c>
      <c r="E342" t="s">
        <v>31</v>
      </c>
      <c r="F342">
        <v>15</v>
      </c>
      <c r="G342" s="6">
        <v>1455.24</v>
      </c>
      <c r="H342" s="5">
        <v>21828.6</v>
      </c>
      <c r="I342">
        <v>3.3</v>
      </c>
    </row>
    <row r="343" spans="1:9" x14ac:dyDescent="0.35">
      <c r="A343" t="s">
        <v>587</v>
      </c>
      <c r="B343" s="1">
        <v>45957</v>
      </c>
      <c r="C343" t="s">
        <v>11</v>
      </c>
      <c r="D343" t="s">
        <v>19</v>
      </c>
      <c r="E343" t="s">
        <v>28</v>
      </c>
      <c r="F343">
        <v>1</v>
      </c>
      <c r="G343" s="6">
        <v>70.010000000000005</v>
      </c>
      <c r="H343" s="5">
        <v>70.010000000000005</v>
      </c>
      <c r="I343">
        <v>3.6</v>
      </c>
    </row>
    <row r="344" spans="1:9" x14ac:dyDescent="0.35">
      <c r="A344" t="s">
        <v>588</v>
      </c>
      <c r="B344" s="1">
        <v>45958</v>
      </c>
      <c r="C344" t="s">
        <v>16</v>
      </c>
      <c r="D344" t="s">
        <v>24</v>
      </c>
      <c r="E344" t="s">
        <v>44</v>
      </c>
      <c r="F344">
        <v>24</v>
      </c>
      <c r="G344" s="6">
        <v>1039.23</v>
      </c>
      <c r="H344" s="5">
        <v>24941.52</v>
      </c>
      <c r="I344">
        <v>3.4</v>
      </c>
    </row>
    <row r="345" spans="1:9" x14ac:dyDescent="0.35">
      <c r="A345" t="s">
        <v>589</v>
      </c>
      <c r="B345" s="1">
        <v>45984</v>
      </c>
      <c r="C345" t="s">
        <v>11</v>
      </c>
      <c r="D345" t="s">
        <v>24</v>
      </c>
      <c r="E345" t="s">
        <v>69</v>
      </c>
      <c r="F345">
        <v>15</v>
      </c>
      <c r="G345" s="6">
        <v>745.83</v>
      </c>
      <c r="H345" s="5">
        <v>11187.45</v>
      </c>
      <c r="I345">
        <v>3.6</v>
      </c>
    </row>
    <row r="346" spans="1:9" x14ac:dyDescent="0.35">
      <c r="A346" t="s">
        <v>591</v>
      </c>
      <c r="B346" s="1">
        <v>45780</v>
      </c>
      <c r="C346" t="s">
        <v>16</v>
      </c>
      <c r="D346" t="s">
        <v>12</v>
      </c>
      <c r="E346" t="s">
        <v>90</v>
      </c>
      <c r="F346">
        <v>3</v>
      </c>
      <c r="G346" s="6">
        <v>226.05</v>
      </c>
      <c r="H346" s="5">
        <v>678.15</v>
      </c>
      <c r="I346">
        <v>4.0999999999999996</v>
      </c>
    </row>
    <row r="347" spans="1:9" x14ac:dyDescent="0.35">
      <c r="A347" t="s">
        <v>593</v>
      </c>
      <c r="B347" s="1">
        <v>45908</v>
      </c>
      <c r="C347" t="s">
        <v>11</v>
      </c>
      <c r="D347" t="s">
        <v>24</v>
      </c>
      <c r="E347" t="s">
        <v>44</v>
      </c>
      <c r="F347">
        <v>5</v>
      </c>
      <c r="G347" s="6">
        <v>835.47</v>
      </c>
      <c r="H347" s="5">
        <v>4177.3500000000004</v>
      </c>
      <c r="I347">
        <v>4.9000000000000004</v>
      </c>
    </row>
    <row r="348" spans="1:9" x14ac:dyDescent="0.35">
      <c r="A348" t="s">
        <v>594</v>
      </c>
      <c r="B348" s="1">
        <v>46008</v>
      </c>
      <c r="C348" t="s">
        <v>11</v>
      </c>
      <c r="D348" t="s">
        <v>12</v>
      </c>
      <c r="E348" t="s">
        <v>13</v>
      </c>
      <c r="F348">
        <v>18</v>
      </c>
      <c r="G348" s="6">
        <v>110.47</v>
      </c>
      <c r="H348" s="5">
        <v>1988.46</v>
      </c>
      <c r="I348">
        <v>4.9000000000000004</v>
      </c>
    </row>
    <row r="349" spans="1:9" x14ac:dyDescent="0.35">
      <c r="A349" t="s">
        <v>595</v>
      </c>
      <c r="B349" s="1">
        <v>45969</v>
      </c>
      <c r="C349" t="s">
        <v>11</v>
      </c>
      <c r="D349" t="s">
        <v>24</v>
      </c>
      <c r="E349" t="s">
        <v>69</v>
      </c>
      <c r="F349">
        <v>5</v>
      </c>
      <c r="G349" s="6">
        <v>7.16</v>
      </c>
      <c r="H349" s="5">
        <v>35.799999999999997</v>
      </c>
      <c r="I349">
        <v>3.5</v>
      </c>
    </row>
    <row r="350" spans="1:9" x14ac:dyDescent="0.35">
      <c r="A350" t="s">
        <v>596</v>
      </c>
      <c r="B350" s="1">
        <v>45799</v>
      </c>
      <c r="C350" t="s">
        <v>23</v>
      </c>
      <c r="D350" t="s">
        <v>24</v>
      </c>
      <c r="E350" t="s">
        <v>44</v>
      </c>
      <c r="F350">
        <v>17</v>
      </c>
      <c r="G350" s="6">
        <v>764.42</v>
      </c>
      <c r="H350" s="5">
        <v>12995.14</v>
      </c>
      <c r="I350">
        <v>4.5999999999999996</v>
      </c>
    </row>
    <row r="351" spans="1:9" x14ac:dyDescent="0.35">
      <c r="A351" t="s">
        <v>598</v>
      </c>
      <c r="B351" s="1">
        <v>45691</v>
      </c>
      <c r="C351" t="s">
        <v>38</v>
      </c>
      <c r="D351" t="s">
        <v>19</v>
      </c>
      <c r="E351" t="s">
        <v>20</v>
      </c>
      <c r="F351">
        <v>25</v>
      </c>
      <c r="G351" s="6">
        <v>931.87</v>
      </c>
      <c r="H351" s="5">
        <v>23296.75</v>
      </c>
      <c r="I351">
        <v>3.6</v>
      </c>
    </row>
    <row r="352" spans="1:9" x14ac:dyDescent="0.35">
      <c r="A352" t="s">
        <v>600</v>
      </c>
      <c r="B352" s="1">
        <v>45809</v>
      </c>
      <c r="C352" t="s">
        <v>38</v>
      </c>
      <c r="D352" t="s">
        <v>24</v>
      </c>
      <c r="E352" t="s">
        <v>25</v>
      </c>
      <c r="F352">
        <v>19</v>
      </c>
      <c r="G352" s="6">
        <v>1240.25</v>
      </c>
      <c r="H352" s="5">
        <v>23564.75</v>
      </c>
      <c r="I352">
        <v>3.3</v>
      </c>
    </row>
    <row r="353" spans="1:9" x14ac:dyDescent="0.35">
      <c r="A353" t="s">
        <v>602</v>
      </c>
      <c r="B353" s="1">
        <v>45808</v>
      </c>
      <c r="C353" t="s">
        <v>23</v>
      </c>
      <c r="D353" t="s">
        <v>19</v>
      </c>
      <c r="E353" t="s">
        <v>28</v>
      </c>
      <c r="F353">
        <v>20</v>
      </c>
      <c r="G353" s="6">
        <v>1322.74</v>
      </c>
      <c r="H353" s="5">
        <v>26454.799999999999</v>
      </c>
      <c r="I353">
        <v>3</v>
      </c>
    </row>
    <row r="354" spans="1:9" x14ac:dyDescent="0.35">
      <c r="A354" t="s">
        <v>603</v>
      </c>
      <c r="B354" s="1">
        <v>45754</v>
      </c>
      <c r="C354" t="s">
        <v>11</v>
      </c>
      <c r="D354" t="s">
        <v>24</v>
      </c>
      <c r="E354" t="s">
        <v>44</v>
      </c>
      <c r="F354">
        <v>23</v>
      </c>
      <c r="G354" s="6">
        <v>861.19</v>
      </c>
      <c r="H354" s="5">
        <v>19807.37</v>
      </c>
      <c r="I354">
        <v>4.4000000000000004</v>
      </c>
    </row>
    <row r="355" spans="1:9" x14ac:dyDescent="0.35">
      <c r="A355" t="s">
        <v>604</v>
      </c>
      <c r="B355" s="1">
        <v>45899</v>
      </c>
      <c r="C355" t="s">
        <v>16</v>
      </c>
      <c r="D355" t="s">
        <v>19</v>
      </c>
      <c r="E355" t="s">
        <v>31</v>
      </c>
      <c r="F355">
        <v>21</v>
      </c>
      <c r="G355" s="6">
        <v>752.39</v>
      </c>
      <c r="H355" s="5">
        <v>15800.19</v>
      </c>
      <c r="I355">
        <v>4.0999999999999996</v>
      </c>
    </row>
    <row r="356" spans="1:9" x14ac:dyDescent="0.35">
      <c r="A356" t="s">
        <v>606</v>
      </c>
      <c r="B356" s="1">
        <v>45715</v>
      </c>
      <c r="C356" t="s">
        <v>16</v>
      </c>
      <c r="D356" t="s">
        <v>12</v>
      </c>
      <c r="E356" t="s">
        <v>17</v>
      </c>
      <c r="F356">
        <v>9</v>
      </c>
      <c r="G356" s="6">
        <v>1349.42</v>
      </c>
      <c r="H356" s="5">
        <v>12144.78</v>
      </c>
      <c r="I356">
        <v>4.5</v>
      </c>
    </row>
    <row r="357" spans="1:9" x14ac:dyDescent="0.35">
      <c r="A357" t="s">
        <v>608</v>
      </c>
      <c r="B357" s="1">
        <v>45720</v>
      </c>
      <c r="C357" t="s">
        <v>23</v>
      </c>
      <c r="D357" t="s">
        <v>19</v>
      </c>
      <c r="E357" t="s">
        <v>28</v>
      </c>
      <c r="F357">
        <v>16</v>
      </c>
      <c r="G357" s="6">
        <v>99.34</v>
      </c>
      <c r="H357" s="5">
        <v>1589.44</v>
      </c>
      <c r="I357">
        <v>4.5</v>
      </c>
    </row>
    <row r="358" spans="1:9" x14ac:dyDescent="0.35">
      <c r="A358" t="s">
        <v>609</v>
      </c>
      <c r="B358" s="1">
        <v>45852</v>
      </c>
      <c r="C358" t="s">
        <v>11</v>
      </c>
      <c r="D358" t="s">
        <v>19</v>
      </c>
      <c r="E358" t="s">
        <v>28</v>
      </c>
      <c r="F358">
        <v>7</v>
      </c>
      <c r="G358" s="6">
        <v>219.24</v>
      </c>
      <c r="H358" s="5">
        <v>1534.68</v>
      </c>
      <c r="I358">
        <v>3.1</v>
      </c>
    </row>
    <row r="359" spans="1:9" x14ac:dyDescent="0.35">
      <c r="A359" t="s">
        <v>610</v>
      </c>
      <c r="B359" s="1">
        <v>45791</v>
      </c>
      <c r="C359" t="s">
        <v>38</v>
      </c>
      <c r="D359" t="s">
        <v>24</v>
      </c>
      <c r="E359" t="s">
        <v>25</v>
      </c>
      <c r="F359">
        <v>25</v>
      </c>
      <c r="G359" s="6">
        <v>1112.7</v>
      </c>
      <c r="H359" s="5">
        <v>27817.5</v>
      </c>
      <c r="I359">
        <v>4.4000000000000004</v>
      </c>
    </row>
    <row r="360" spans="1:9" x14ac:dyDescent="0.35">
      <c r="A360" t="s">
        <v>611</v>
      </c>
      <c r="B360" s="1">
        <v>46019</v>
      </c>
      <c r="C360" t="s">
        <v>16</v>
      </c>
      <c r="D360" t="s">
        <v>19</v>
      </c>
      <c r="E360" t="s">
        <v>28</v>
      </c>
      <c r="F360">
        <v>14</v>
      </c>
      <c r="G360" s="6">
        <v>1195.29</v>
      </c>
      <c r="H360" s="5">
        <v>16734.060000000001</v>
      </c>
      <c r="I360">
        <v>4.2</v>
      </c>
    </row>
    <row r="361" spans="1:9" x14ac:dyDescent="0.35">
      <c r="A361" t="s">
        <v>612</v>
      </c>
      <c r="B361" s="1">
        <v>45994</v>
      </c>
      <c r="C361" t="s">
        <v>11</v>
      </c>
      <c r="D361" t="s">
        <v>12</v>
      </c>
      <c r="E361" t="s">
        <v>90</v>
      </c>
      <c r="F361">
        <v>3</v>
      </c>
      <c r="G361" s="6">
        <v>799.95</v>
      </c>
      <c r="H361" s="5">
        <v>2399.85</v>
      </c>
      <c r="I361">
        <v>4.2</v>
      </c>
    </row>
    <row r="362" spans="1:9" x14ac:dyDescent="0.35">
      <c r="A362" t="s">
        <v>613</v>
      </c>
      <c r="B362" s="1">
        <v>45785</v>
      </c>
      <c r="C362" t="s">
        <v>38</v>
      </c>
      <c r="D362" t="s">
        <v>19</v>
      </c>
      <c r="E362" t="s">
        <v>28</v>
      </c>
      <c r="F362">
        <v>20</v>
      </c>
      <c r="G362" s="6">
        <v>1240.95</v>
      </c>
      <c r="H362" s="5">
        <v>24819</v>
      </c>
      <c r="I362">
        <v>4.5999999999999996</v>
      </c>
    </row>
    <row r="363" spans="1:9" x14ac:dyDescent="0.35">
      <c r="A363" t="s">
        <v>614</v>
      </c>
      <c r="B363" s="1">
        <v>45687</v>
      </c>
      <c r="C363" t="s">
        <v>16</v>
      </c>
      <c r="D363" t="s">
        <v>19</v>
      </c>
      <c r="E363" t="s">
        <v>28</v>
      </c>
      <c r="F363">
        <v>11</v>
      </c>
      <c r="G363" s="6">
        <v>200.78</v>
      </c>
      <c r="H363" s="5">
        <v>2208.58</v>
      </c>
      <c r="I363">
        <v>3.3</v>
      </c>
    </row>
    <row r="364" spans="1:9" x14ac:dyDescent="0.35">
      <c r="A364" t="s">
        <v>615</v>
      </c>
      <c r="B364" s="1">
        <v>45813</v>
      </c>
      <c r="C364" t="s">
        <v>23</v>
      </c>
      <c r="D364" t="s">
        <v>19</v>
      </c>
      <c r="E364" t="s">
        <v>28</v>
      </c>
      <c r="F364">
        <v>25</v>
      </c>
      <c r="G364" s="6">
        <v>329.36</v>
      </c>
      <c r="H364" s="5">
        <v>8234</v>
      </c>
      <c r="I364">
        <v>4.5999999999999996</v>
      </c>
    </row>
    <row r="365" spans="1:9" x14ac:dyDescent="0.35">
      <c r="A365" t="s">
        <v>616</v>
      </c>
      <c r="B365" s="1">
        <v>45727</v>
      </c>
      <c r="C365" t="s">
        <v>11</v>
      </c>
      <c r="D365" t="s">
        <v>12</v>
      </c>
      <c r="E365" t="s">
        <v>17</v>
      </c>
      <c r="F365">
        <v>9</v>
      </c>
      <c r="G365" s="6">
        <v>693.64</v>
      </c>
      <c r="H365" s="5">
        <v>6242.76</v>
      </c>
      <c r="I365">
        <v>5</v>
      </c>
    </row>
    <row r="366" spans="1:9" x14ac:dyDescent="0.35">
      <c r="A366" t="s">
        <v>618</v>
      </c>
      <c r="B366" s="1">
        <v>45983</v>
      </c>
      <c r="C366" t="s">
        <v>23</v>
      </c>
      <c r="D366" t="s">
        <v>12</v>
      </c>
      <c r="E366" t="s">
        <v>13</v>
      </c>
      <c r="F366">
        <v>6</v>
      </c>
      <c r="G366" s="6">
        <v>482.48</v>
      </c>
      <c r="H366" s="5">
        <v>2894.88</v>
      </c>
      <c r="I366">
        <v>4.3</v>
      </c>
    </row>
    <row r="367" spans="1:9" x14ac:dyDescent="0.35">
      <c r="A367" t="s">
        <v>620</v>
      </c>
      <c r="B367" s="1">
        <v>45966</v>
      </c>
      <c r="C367" t="s">
        <v>23</v>
      </c>
      <c r="D367" t="s">
        <v>12</v>
      </c>
      <c r="E367" t="s">
        <v>90</v>
      </c>
      <c r="F367">
        <v>24</v>
      </c>
      <c r="G367" s="6">
        <v>1344.73</v>
      </c>
      <c r="H367" s="5">
        <v>32273.52</v>
      </c>
      <c r="I367">
        <v>3</v>
      </c>
    </row>
    <row r="368" spans="1:9" x14ac:dyDescent="0.35">
      <c r="A368" t="s">
        <v>622</v>
      </c>
      <c r="B368" s="1">
        <v>45927</v>
      </c>
      <c r="C368" t="s">
        <v>11</v>
      </c>
      <c r="D368" t="s">
        <v>12</v>
      </c>
      <c r="E368" t="s">
        <v>90</v>
      </c>
      <c r="F368">
        <v>2</v>
      </c>
      <c r="G368" s="6">
        <v>1013.34</v>
      </c>
      <c r="H368" s="5">
        <v>2026.68</v>
      </c>
      <c r="I368">
        <v>3.3</v>
      </c>
    </row>
    <row r="369" spans="1:9" x14ac:dyDescent="0.35">
      <c r="A369" t="s">
        <v>624</v>
      </c>
      <c r="B369" s="1">
        <v>45979</v>
      </c>
      <c r="C369" t="s">
        <v>38</v>
      </c>
      <c r="D369" t="s">
        <v>12</v>
      </c>
      <c r="E369" t="s">
        <v>13</v>
      </c>
      <c r="F369">
        <v>24</v>
      </c>
      <c r="G369" s="6">
        <v>721.85</v>
      </c>
      <c r="H369" s="5">
        <v>17324.400000000001</v>
      </c>
      <c r="I369">
        <v>3.4</v>
      </c>
    </row>
    <row r="370" spans="1:9" x14ac:dyDescent="0.35">
      <c r="A370" t="s">
        <v>625</v>
      </c>
      <c r="B370" s="1">
        <v>45877</v>
      </c>
      <c r="C370" t="s">
        <v>11</v>
      </c>
      <c r="D370" t="s">
        <v>24</v>
      </c>
      <c r="E370" t="s">
        <v>69</v>
      </c>
      <c r="F370">
        <v>9</v>
      </c>
      <c r="G370" s="6">
        <v>1391</v>
      </c>
      <c r="H370" s="5">
        <v>12519</v>
      </c>
      <c r="I370">
        <v>4.7</v>
      </c>
    </row>
    <row r="371" spans="1:9" x14ac:dyDescent="0.35">
      <c r="A371" t="s">
        <v>627</v>
      </c>
      <c r="B371" s="1">
        <v>45807</v>
      </c>
      <c r="C371" t="s">
        <v>23</v>
      </c>
      <c r="D371" t="s">
        <v>19</v>
      </c>
      <c r="E371" t="s">
        <v>31</v>
      </c>
      <c r="F371">
        <v>3</v>
      </c>
      <c r="G371" s="6">
        <v>173.72</v>
      </c>
      <c r="H371" s="5">
        <v>521.16</v>
      </c>
      <c r="I371">
        <v>3.9</v>
      </c>
    </row>
    <row r="372" spans="1:9" x14ac:dyDescent="0.35">
      <c r="A372" t="s">
        <v>629</v>
      </c>
      <c r="B372" s="1">
        <v>45829</v>
      </c>
      <c r="C372" t="s">
        <v>11</v>
      </c>
      <c r="D372" t="s">
        <v>19</v>
      </c>
      <c r="E372" t="s">
        <v>20</v>
      </c>
      <c r="F372">
        <v>9</v>
      </c>
      <c r="G372" s="6">
        <v>251.6</v>
      </c>
      <c r="H372" s="5">
        <v>2264.4</v>
      </c>
      <c r="I372">
        <v>4.9000000000000004</v>
      </c>
    </row>
    <row r="373" spans="1:9" x14ac:dyDescent="0.35">
      <c r="A373" t="s">
        <v>630</v>
      </c>
      <c r="B373" s="1">
        <v>46001</v>
      </c>
      <c r="C373" t="s">
        <v>38</v>
      </c>
      <c r="D373" t="s">
        <v>12</v>
      </c>
      <c r="E373" t="s">
        <v>13</v>
      </c>
      <c r="F373">
        <v>17</v>
      </c>
      <c r="G373" s="6">
        <v>1156.45</v>
      </c>
      <c r="H373" s="5">
        <v>19659.650000000001</v>
      </c>
      <c r="I373">
        <v>4.0999999999999996</v>
      </c>
    </row>
    <row r="374" spans="1:9" x14ac:dyDescent="0.35">
      <c r="A374" t="s">
        <v>632</v>
      </c>
      <c r="B374" s="1">
        <v>45864</v>
      </c>
      <c r="C374" t="s">
        <v>38</v>
      </c>
      <c r="D374" t="s">
        <v>12</v>
      </c>
      <c r="E374" t="s">
        <v>90</v>
      </c>
      <c r="F374">
        <v>22</v>
      </c>
      <c r="G374" s="6">
        <v>98.84</v>
      </c>
      <c r="H374" s="5">
        <v>2174.48</v>
      </c>
      <c r="I374">
        <v>4.3</v>
      </c>
    </row>
    <row r="375" spans="1:9" x14ac:dyDescent="0.35">
      <c r="A375" t="s">
        <v>634</v>
      </c>
      <c r="B375" s="1">
        <v>45881</v>
      </c>
      <c r="C375" t="s">
        <v>23</v>
      </c>
      <c r="D375" t="s">
        <v>19</v>
      </c>
      <c r="E375" t="s">
        <v>31</v>
      </c>
      <c r="F375">
        <v>2</v>
      </c>
      <c r="G375" s="6">
        <v>750.58</v>
      </c>
      <c r="H375" s="5">
        <v>1501.16</v>
      </c>
      <c r="I375">
        <v>3.7</v>
      </c>
    </row>
    <row r="376" spans="1:9" x14ac:dyDescent="0.35">
      <c r="A376" t="s">
        <v>636</v>
      </c>
      <c r="B376" s="1">
        <v>45755</v>
      </c>
      <c r="C376" t="s">
        <v>11</v>
      </c>
      <c r="D376" t="s">
        <v>12</v>
      </c>
      <c r="E376" t="s">
        <v>13</v>
      </c>
      <c r="F376">
        <v>3</v>
      </c>
      <c r="G376" s="6">
        <v>602.58000000000004</v>
      </c>
      <c r="H376" s="5">
        <v>1807.74</v>
      </c>
      <c r="I376">
        <v>3.7</v>
      </c>
    </row>
    <row r="377" spans="1:9" x14ac:dyDescent="0.35">
      <c r="A377" t="s">
        <v>637</v>
      </c>
      <c r="B377" s="1">
        <v>45881</v>
      </c>
      <c r="C377" t="s">
        <v>23</v>
      </c>
      <c r="D377" t="s">
        <v>19</v>
      </c>
      <c r="E377" t="s">
        <v>28</v>
      </c>
      <c r="F377">
        <v>7</v>
      </c>
      <c r="G377" s="6">
        <v>1434.83</v>
      </c>
      <c r="H377" s="5">
        <v>10043.81</v>
      </c>
      <c r="I377">
        <v>4.4000000000000004</v>
      </c>
    </row>
    <row r="378" spans="1:9" x14ac:dyDescent="0.35">
      <c r="A378" t="s">
        <v>638</v>
      </c>
      <c r="B378" s="1">
        <v>45987</v>
      </c>
      <c r="C378" t="s">
        <v>16</v>
      </c>
      <c r="D378" t="s">
        <v>12</v>
      </c>
      <c r="E378" t="s">
        <v>13</v>
      </c>
      <c r="F378">
        <v>22</v>
      </c>
      <c r="G378" s="6">
        <v>284.23</v>
      </c>
      <c r="H378" s="5">
        <v>6253.06</v>
      </c>
      <c r="I378">
        <v>4.3</v>
      </c>
    </row>
    <row r="379" spans="1:9" x14ac:dyDescent="0.35">
      <c r="A379" t="s">
        <v>640</v>
      </c>
      <c r="B379" s="1">
        <v>45774</v>
      </c>
      <c r="C379" t="s">
        <v>38</v>
      </c>
      <c r="D379" t="s">
        <v>19</v>
      </c>
      <c r="E379" t="s">
        <v>31</v>
      </c>
      <c r="F379">
        <v>9</v>
      </c>
      <c r="G379" s="6">
        <v>1412.42</v>
      </c>
      <c r="H379" s="5">
        <v>12711.78</v>
      </c>
      <c r="I379">
        <v>4.3</v>
      </c>
    </row>
    <row r="380" spans="1:9" x14ac:dyDescent="0.35">
      <c r="A380" t="s">
        <v>642</v>
      </c>
      <c r="B380" s="1">
        <v>45776</v>
      </c>
      <c r="C380" t="s">
        <v>38</v>
      </c>
      <c r="D380" t="s">
        <v>24</v>
      </c>
      <c r="E380" t="s">
        <v>25</v>
      </c>
      <c r="F380">
        <v>2</v>
      </c>
      <c r="G380" s="6">
        <v>1318.09</v>
      </c>
      <c r="H380" s="5">
        <v>2636.18</v>
      </c>
      <c r="I380">
        <v>4.0999999999999996</v>
      </c>
    </row>
    <row r="381" spans="1:9" x14ac:dyDescent="0.35">
      <c r="A381" t="s">
        <v>644</v>
      </c>
      <c r="B381" s="1">
        <v>45884</v>
      </c>
      <c r="C381" t="s">
        <v>16</v>
      </c>
      <c r="D381" t="s">
        <v>24</v>
      </c>
      <c r="E381" t="s">
        <v>44</v>
      </c>
      <c r="F381">
        <v>1</v>
      </c>
      <c r="G381" s="6">
        <v>459.42</v>
      </c>
      <c r="H381" s="5">
        <v>459.42</v>
      </c>
      <c r="I381">
        <v>4.7</v>
      </c>
    </row>
    <row r="382" spans="1:9" x14ac:dyDescent="0.35">
      <c r="A382" t="s">
        <v>646</v>
      </c>
      <c r="B382" s="1">
        <v>45714</v>
      </c>
      <c r="C382" t="s">
        <v>38</v>
      </c>
      <c r="D382" t="s">
        <v>24</v>
      </c>
      <c r="E382" t="s">
        <v>44</v>
      </c>
      <c r="F382">
        <v>14</v>
      </c>
      <c r="G382" s="6">
        <v>209.6</v>
      </c>
      <c r="H382" s="5">
        <v>2934.4</v>
      </c>
      <c r="I382">
        <v>3.2</v>
      </c>
    </row>
    <row r="383" spans="1:9" x14ac:dyDescent="0.35">
      <c r="A383" t="s">
        <v>647</v>
      </c>
      <c r="B383" s="1">
        <v>45934</v>
      </c>
      <c r="C383" t="s">
        <v>16</v>
      </c>
      <c r="D383" t="s">
        <v>12</v>
      </c>
      <c r="E383" t="s">
        <v>90</v>
      </c>
      <c r="F383">
        <v>9</v>
      </c>
      <c r="G383" s="6">
        <v>1470.52</v>
      </c>
      <c r="H383" s="5">
        <v>13234.68</v>
      </c>
      <c r="I383">
        <v>4.2</v>
      </c>
    </row>
    <row r="384" spans="1:9" x14ac:dyDescent="0.35">
      <c r="A384" t="s">
        <v>649</v>
      </c>
      <c r="B384" s="1">
        <v>45911</v>
      </c>
      <c r="C384" t="s">
        <v>38</v>
      </c>
      <c r="D384" t="s">
        <v>12</v>
      </c>
      <c r="E384" t="s">
        <v>17</v>
      </c>
      <c r="F384">
        <v>6</v>
      </c>
      <c r="G384" s="6">
        <v>733.42</v>
      </c>
      <c r="H384" s="5">
        <v>4400.5200000000004</v>
      </c>
      <c r="I384">
        <v>4.9000000000000004</v>
      </c>
    </row>
    <row r="385" spans="1:9" x14ac:dyDescent="0.35">
      <c r="A385" t="s">
        <v>650</v>
      </c>
      <c r="B385" s="1">
        <v>45734</v>
      </c>
      <c r="C385" t="s">
        <v>38</v>
      </c>
      <c r="D385" t="s">
        <v>19</v>
      </c>
      <c r="E385" t="s">
        <v>20</v>
      </c>
      <c r="F385">
        <v>22</v>
      </c>
      <c r="G385" s="6">
        <v>282.39</v>
      </c>
      <c r="H385" s="5">
        <v>6212.58</v>
      </c>
      <c r="I385">
        <v>5</v>
      </c>
    </row>
    <row r="386" spans="1:9" x14ac:dyDescent="0.35">
      <c r="A386" t="s">
        <v>651</v>
      </c>
      <c r="B386" s="1">
        <v>45942</v>
      </c>
      <c r="C386" t="s">
        <v>38</v>
      </c>
      <c r="D386" t="s">
        <v>19</v>
      </c>
      <c r="E386" t="s">
        <v>20</v>
      </c>
      <c r="F386">
        <v>15</v>
      </c>
      <c r="G386" s="6">
        <v>731.55</v>
      </c>
      <c r="H386" s="5">
        <v>10973.25</v>
      </c>
      <c r="I386">
        <v>3.5</v>
      </c>
    </row>
    <row r="387" spans="1:9" x14ac:dyDescent="0.35">
      <c r="A387" t="s">
        <v>653</v>
      </c>
      <c r="B387" s="1">
        <v>45707</v>
      </c>
      <c r="C387" t="s">
        <v>23</v>
      </c>
      <c r="D387" t="s">
        <v>19</v>
      </c>
      <c r="E387" t="s">
        <v>31</v>
      </c>
      <c r="F387">
        <v>24</v>
      </c>
      <c r="G387" s="6">
        <v>154.38</v>
      </c>
      <c r="H387" s="5">
        <v>3705.12</v>
      </c>
      <c r="I387">
        <v>4.9000000000000004</v>
      </c>
    </row>
    <row r="388" spans="1:9" x14ac:dyDescent="0.35">
      <c r="A388" t="s">
        <v>654</v>
      </c>
      <c r="B388" s="1">
        <v>46005</v>
      </c>
      <c r="C388" t="s">
        <v>23</v>
      </c>
      <c r="D388" t="s">
        <v>24</v>
      </c>
      <c r="E388" t="s">
        <v>69</v>
      </c>
      <c r="F388">
        <v>5</v>
      </c>
      <c r="G388" s="6">
        <v>1238.3599999999999</v>
      </c>
      <c r="H388" s="5">
        <v>6191.8</v>
      </c>
      <c r="I388">
        <v>5</v>
      </c>
    </row>
    <row r="389" spans="1:9" x14ac:dyDescent="0.35">
      <c r="A389" t="s">
        <v>656</v>
      </c>
      <c r="B389" s="1">
        <v>45854</v>
      </c>
      <c r="C389" t="s">
        <v>11</v>
      </c>
      <c r="D389" t="s">
        <v>24</v>
      </c>
      <c r="E389" t="s">
        <v>25</v>
      </c>
      <c r="F389">
        <v>20</v>
      </c>
      <c r="G389" s="6">
        <v>716.27</v>
      </c>
      <c r="H389" s="5">
        <v>14325.4</v>
      </c>
      <c r="I389">
        <v>4.3</v>
      </c>
    </row>
    <row r="390" spans="1:9" x14ac:dyDescent="0.35">
      <c r="A390" t="s">
        <v>657</v>
      </c>
      <c r="B390" s="1">
        <v>45896</v>
      </c>
      <c r="C390" t="s">
        <v>38</v>
      </c>
      <c r="D390" t="s">
        <v>24</v>
      </c>
      <c r="E390" t="s">
        <v>44</v>
      </c>
      <c r="F390">
        <v>15</v>
      </c>
      <c r="G390" s="6">
        <v>1423.09</v>
      </c>
      <c r="H390" s="5">
        <v>21346.35</v>
      </c>
      <c r="I390">
        <v>3.2</v>
      </c>
    </row>
    <row r="391" spans="1:9" x14ac:dyDescent="0.35">
      <c r="A391" t="s">
        <v>658</v>
      </c>
      <c r="B391" s="1">
        <v>45784</v>
      </c>
      <c r="C391" t="s">
        <v>38</v>
      </c>
      <c r="D391" t="s">
        <v>12</v>
      </c>
      <c r="E391" t="s">
        <v>13</v>
      </c>
      <c r="F391">
        <v>21</v>
      </c>
      <c r="G391" s="6">
        <v>573.49</v>
      </c>
      <c r="H391" s="5">
        <v>12043.29</v>
      </c>
      <c r="I391">
        <v>3.6</v>
      </c>
    </row>
    <row r="392" spans="1:9" x14ac:dyDescent="0.35">
      <c r="A392" t="s">
        <v>659</v>
      </c>
      <c r="B392" s="1">
        <v>45911</v>
      </c>
      <c r="C392" t="s">
        <v>11</v>
      </c>
      <c r="D392" t="s">
        <v>19</v>
      </c>
      <c r="E392" t="s">
        <v>28</v>
      </c>
      <c r="F392">
        <v>21</v>
      </c>
      <c r="G392" s="6">
        <v>1439.41</v>
      </c>
      <c r="H392" s="5">
        <v>30227.61</v>
      </c>
      <c r="I392">
        <v>4.2</v>
      </c>
    </row>
    <row r="393" spans="1:9" x14ac:dyDescent="0.35">
      <c r="A393" t="s">
        <v>660</v>
      </c>
      <c r="B393" s="1">
        <v>45785</v>
      </c>
      <c r="C393" t="s">
        <v>23</v>
      </c>
      <c r="D393" t="s">
        <v>24</v>
      </c>
      <c r="E393" t="s">
        <v>69</v>
      </c>
      <c r="F393">
        <v>12</v>
      </c>
      <c r="G393" s="6">
        <v>1333.9</v>
      </c>
      <c r="H393" s="5">
        <v>16006.8</v>
      </c>
      <c r="I393">
        <v>3.4</v>
      </c>
    </row>
    <row r="394" spans="1:9" x14ac:dyDescent="0.35">
      <c r="A394" t="s">
        <v>661</v>
      </c>
      <c r="B394" s="1">
        <v>45895</v>
      </c>
      <c r="C394" t="s">
        <v>11</v>
      </c>
      <c r="D394" t="s">
        <v>24</v>
      </c>
      <c r="E394" t="s">
        <v>44</v>
      </c>
      <c r="F394">
        <v>3</v>
      </c>
      <c r="G394" s="6">
        <v>1079.82</v>
      </c>
      <c r="H394" s="5">
        <v>3239.46</v>
      </c>
      <c r="I394">
        <v>4.5</v>
      </c>
    </row>
    <row r="395" spans="1:9" x14ac:dyDescent="0.35">
      <c r="A395" t="s">
        <v>663</v>
      </c>
      <c r="B395" s="1">
        <v>45973</v>
      </c>
      <c r="C395" t="s">
        <v>16</v>
      </c>
      <c r="D395" t="s">
        <v>19</v>
      </c>
      <c r="E395" t="s">
        <v>28</v>
      </c>
      <c r="F395">
        <v>13</v>
      </c>
      <c r="G395" s="6">
        <v>187.82</v>
      </c>
      <c r="H395" s="5">
        <v>2441.66</v>
      </c>
      <c r="I395">
        <v>3</v>
      </c>
    </row>
    <row r="396" spans="1:9" x14ac:dyDescent="0.35">
      <c r="A396" t="s">
        <v>664</v>
      </c>
      <c r="B396" s="1">
        <v>45783</v>
      </c>
      <c r="C396" t="s">
        <v>38</v>
      </c>
      <c r="D396" t="s">
        <v>24</v>
      </c>
      <c r="E396" t="s">
        <v>25</v>
      </c>
      <c r="F396">
        <v>3</v>
      </c>
      <c r="G396" s="6">
        <v>1232.57</v>
      </c>
      <c r="H396" s="5">
        <v>3697.71</v>
      </c>
      <c r="I396">
        <v>4.7</v>
      </c>
    </row>
    <row r="397" spans="1:9" x14ac:dyDescent="0.35">
      <c r="A397" t="s">
        <v>665</v>
      </c>
      <c r="B397" s="1">
        <v>45737</v>
      </c>
      <c r="C397" t="s">
        <v>16</v>
      </c>
      <c r="D397" t="s">
        <v>24</v>
      </c>
      <c r="E397" t="s">
        <v>44</v>
      </c>
      <c r="F397">
        <v>2</v>
      </c>
      <c r="G397" s="6">
        <v>49.7</v>
      </c>
      <c r="H397" s="5">
        <v>99.4</v>
      </c>
      <c r="I397">
        <v>4.9000000000000004</v>
      </c>
    </row>
    <row r="398" spans="1:9" x14ac:dyDescent="0.35">
      <c r="A398" t="s">
        <v>666</v>
      </c>
      <c r="B398" s="1">
        <v>45807</v>
      </c>
      <c r="C398" t="s">
        <v>38</v>
      </c>
      <c r="D398" t="s">
        <v>19</v>
      </c>
      <c r="E398" t="s">
        <v>28</v>
      </c>
      <c r="F398">
        <v>1</v>
      </c>
      <c r="G398" s="6">
        <v>837.79</v>
      </c>
      <c r="H398" s="5">
        <v>837.79</v>
      </c>
      <c r="I398">
        <v>3.8</v>
      </c>
    </row>
    <row r="399" spans="1:9" x14ac:dyDescent="0.35">
      <c r="A399" t="s">
        <v>667</v>
      </c>
      <c r="B399" s="1">
        <v>45841</v>
      </c>
      <c r="C399" t="s">
        <v>16</v>
      </c>
      <c r="D399" t="s">
        <v>24</v>
      </c>
      <c r="E399" t="s">
        <v>69</v>
      </c>
      <c r="F399">
        <v>22</v>
      </c>
      <c r="G399" s="6">
        <v>347.18</v>
      </c>
      <c r="H399" s="5">
        <v>7637.96</v>
      </c>
      <c r="I399">
        <v>4.2</v>
      </c>
    </row>
    <row r="400" spans="1:9" x14ac:dyDescent="0.35">
      <c r="A400" t="s">
        <v>669</v>
      </c>
      <c r="B400" s="1">
        <v>45715</v>
      </c>
      <c r="C400" t="s">
        <v>11</v>
      </c>
      <c r="D400" t="s">
        <v>19</v>
      </c>
      <c r="E400" t="s">
        <v>20</v>
      </c>
      <c r="F400">
        <v>12</v>
      </c>
      <c r="G400" s="6">
        <v>1313.96</v>
      </c>
      <c r="H400" s="5">
        <v>15767.52</v>
      </c>
      <c r="I400">
        <v>3.8</v>
      </c>
    </row>
    <row r="401" spans="1:9" x14ac:dyDescent="0.35">
      <c r="A401" t="s">
        <v>670</v>
      </c>
      <c r="B401" s="1">
        <v>45870</v>
      </c>
      <c r="C401" t="s">
        <v>16</v>
      </c>
      <c r="D401" t="s">
        <v>19</v>
      </c>
      <c r="E401" t="s">
        <v>20</v>
      </c>
      <c r="F401">
        <v>10</v>
      </c>
      <c r="G401" s="6">
        <v>965.52</v>
      </c>
      <c r="H401" s="5">
        <v>9655.2000000000007</v>
      </c>
      <c r="I401">
        <v>4.0999999999999996</v>
      </c>
    </row>
    <row r="402" spans="1:9" x14ac:dyDescent="0.35">
      <c r="A402" t="s">
        <v>671</v>
      </c>
      <c r="B402" s="1">
        <v>45824</v>
      </c>
      <c r="C402" t="s">
        <v>23</v>
      </c>
      <c r="D402" t="s">
        <v>24</v>
      </c>
      <c r="E402" t="s">
        <v>69</v>
      </c>
      <c r="F402">
        <v>21</v>
      </c>
      <c r="G402" s="6">
        <v>574.84</v>
      </c>
      <c r="H402" s="5">
        <v>12071.64</v>
      </c>
      <c r="I402">
        <v>4.5</v>
      </c>
    </row>
    <row r="403" spans="1:9" x14ac:dyDescent="0.35">
      <c r="A403" t="s">
        <v>672</v>
      </c>
      <c r="B403" s="1">
        <v>46005</v>
      </c>
      <c r="C403" t="s">
        <v>11</v>
      </c>
      <c r="D403" t="s">
        <v>19</v>
      </c>
      <c r="E403" t="s">
        <v>28</v>
      </c>
      <c r="F403">
        <v>21</v>
      </c>
      <c r="G403" s="6">
        <v>1179.95</v>
      </c>
      <c r="H403" s="5">
        <v>24778.95</v>
      </c>
      <c r="I403">
        <v>3.7</v>
      </c>
    </row>
    <row r="404" spans="1:9" x14ac:dyDescent="0.35">
      <c r="A404" t="s">
        <v>673</v>
      </c>
      <c r="B404" s="1">
        <v>45980</v>
      </c>
      <c r="C404" t="s">
        <v>38</v>
      </c>
      <c r="D404" t="s">
        <v>12</v>
      </c>
      <c r="E404" t="s">
        <v>13</v>
      </c>
      <c r="F404">
        <v>10</v>
      </c>
      <c r="G404" s="6">
        <v>1066.6099999999999</v>
      </c>
      <c r="H404" s="5">
        <v>10666.1</v>
      </c>
      <c r="I404">
        <v>3.1</v>
      </c>
    </row>
    <row r="405" spans="1:9" x14ac:dyDescent="0.35">
      <c r="A405" t="s">
        <v>674</v>
      </c>
      <c r="B405" s="1">
        <v>45804</v>
      </c>
      <c r="C405" t="s">
        <v>16</v>
      </c>
      <c r="D405" t="s">
        <v>19</v>
      </c>
      <c r="E405" t="s">
        <v>31</v>
      </c>
      <c r="F405">
        <v>3</v>
      </c>
      <c r="G405" s="6">
        <v>261.48</v>
      </c>
      <c r="H405" s="5">
        <v>784.44</v>
      </c>
      <c r="I405">
        <v>3.8</v>
      </c>
    </row>
    <row r="406" spans="1:9" x14ac:dyDescent="0.35">
      <c r="A406" t="s">
        <v>675</v>
      </c>
      <c r="B406" s="1">
        <v>45688</v>
      </c>
      <c r="C406" t="s">
        <v>11</v>
      </c>
      <c r="D406" t="s">
        <v>19</v>
      </c>
      <c r="E406" t="s">
        <v>28</v>
      </c>
      <c r="F406">
        <v>18</v>
      </c>
      <c r="G406" s="6">
        <v>577.12</v>
      </c>
      <c r="H406" s="5">
        <v>10388.16</v>
      </c>
      <c r="I406">
        <v>3.2</v>
      </c>
    </row>
    <row r="407" spans="1:9" x14ac:dyDescent="0.35">
      <c r="A407" t="s">
        <v>677</v>
      </c>
      <c r="B407" s="1">
        <v>45836</v>
      </c>
      <c r="C407" t="s">
        <v>16</v>
      </c>
      <c r="D407" t="s">
        <v>12</v>
      </c>
      <c r="E407" t="s">
        <v>90</v>
      </c>
      <c r="F407">
        <v>17</v>
      </c>
      <c r="G407" s="6">
        <v>1438.98</v>
      </c>
      <c r="H407" s="5">
        <v>24462.66</v>
      </c>
      <c r="I407">
        <v>3.9</v>
      </c>
    </row>
    <row r="408" spans="1:9" x14ac:dyDescent="0.35">
      <c r="A408" t="s">
        <v>678</v>
      </c>
      <c r="B408" s="1">
        <v>45672</v>
      </c>
      <c r="C408" t="s">
        <v>11</v>
      </c>
      <c r="D408" t="s">
        <v>24</v>
      </c>
      <c r="E408" t="s">
        <v>69</v>
      </c>
      <c r="F408">
        <v>21</v>
      </c>
      <c r="G408" s="6">
        <v>668.26</v>
      </c>
      <c r="H408" s="5">
        <v>14033.46</v>
      </c>
      <c r="I408">
        <v>3.8</v>
      </c>
    </row>
    <row r="409" spans="1:9" x14ac:dyDescent="0.35">
      <c r="A409" t="s">
        <v>680</v>
      </c>
      <c r="B409" s="1">
        <v>45753</v>
      </c>
      <c r="C409" t="s">
        <v>11</v>
      </c>
      <c r="D409" t="s">
        <v>24</v>
      </c>
      <c r="E409" t="s">
        <v>25</v>
      </c>
      <c r="F409">
        <v>13</v>
      </c>
      <c r="G409" s="6">
        <v>1462.03</v>
      </c>
      <c r="H409" s="5">
        <v>19006.39</v>
      </c>
      <c r="I409">
        <v>3.9</v>
      </c>
    </row>
    <row r="410" spans="1:9" x14ac:dyDescent="0.35">
      <c r="A410" t="s">
        <v>681</v>
      </c>
      <c r="B410" s="1">
        <v>45730</v>
      </c>
      <c r="C410" t="s">
        <v>23</v>
      </c>
      <c r="D410" t="s">
        <v>24</v>
      </c>
      <c r="E410" t="s">
        <v>25</v>
      </c>
      <c r="F410">
        <v>13</v>
      </c>
      <c r="G410" s="6">
        <v>1183.17</v>
      </c>
      <c r="H410" s="5">
        <v>15381.21</v>
      </c>
      <c r="I410">
        <v>3.1</v>
      </c>
    </row>
    <row r="411" spans="1:9" x14ac:dyDescent="0.35">
      <c r="A411" t="s">
        <v>682</v>
      </c>
      <c r="B411" s="1">
        <v>45720</v>
      </c>
      <c r="C411" t="s">
        <v>23</v>
      </c>
      <c r="D411" t="s">
        <v>24</v>
      </c>
      <c r="E411" t="s">
        <v>69</v>
      </c>
      <c r="F411">
        <v>1</v>
      </c>
      <c r="G411" s="6">
        <v>231.71</v>
      </c>
      <c r="H411" s="5">
        <v>231.71</v>
      </c>
      <c r="I411">
        <v>4</v>
      </c>
    </row>
    <row r="412" spans="1:9" x14ac:dyDescent="0.35">
      <c r="A412" t="s">
        <v>683</v>
      </c>
      <c r="B412" s="1">
        <v>45660</v>
      </c>
      <c r="C412" t="s">
        <v>11</v>
      </c>
      <c r="D412" t="s">
        <v>12</v>
      </c>
      <c r="E412" t="s">
        <v>17</v>
      </c>
      <c r="F412">
        <v>11</v>
      </c>
      <c r="G412" s="6">
        <v>638.65</v>
      </c>
      <c r="H412" s="5">
        <v>7025.15</v>
      </c>
      <c r="I412">
        <v>4.7</v>
      </c>
    </row>
    <row r="413" spans="1:9" x14ac:dyDescent="0.35">
      <c r="A413" t="s">
        <v>684</v>
      </c>
      <c r="B413" s="1">
        <v>46009</v>
      </c>
      <c r="C413" t="s">
        <v>16</v>
      </c>
      <c r="D413" t="s">
        <v>12</v>
      </c>
      <c r="E413" t="s">
        <v>90</v>
      </c>
      <c r="F413">
        <v>13</v>
      </c>
      <c r="G413" s="6">
        <v>1424.72</v>
      </c>
      <c r="H413" s="5">
        <v>18521.36</v>
      </c>
      <c r="I413">
        <v>4.5999999999999996</v>
      </c>
    </row>
    <row r="414" spans="1:9" x14ac:dyDescent="0.35">
      <c r="A414" t="s">
        <v>686</v>
      </c>
      <c r="B414" s="1">
        <v>45786</v>
      </c>
      <c r="C414" t="s">
        <v>23</v>
      </c>
      <c r="D414" t="s">
        <v>19</v>
      </c>
      <c r="E414" t="s">
        <v>28</v>
      </c>
      <c r="F414">
        <v>7</v>
      </c>
      <c r="G414" s="6">
        <v>386.18</v>
      </c>
      <c r="H414" s="5">
        <v>2703.26</v>
      </c>
      <c r="I414">
        <v>3.1</v>
      </c>
    </row>
    <row r="415" spans="1:9" x14ac:dyDescent="0.35">
      <c r="A415" t="s">
        <v>687</v>
      </c>
      <c r="B415" s="1">
        <v>45703</v>
      </c>
      <c r="C415" t="s">
        <v>23</v>
      </c>
      <c r="D415" t="s">
        <v>19</v>
      </c>
      <c r="E415" t="s">
        <v>28</v>
      </c>
      <c r="F415">
        <v>11</v>
      </c>
      <c r="G415" s="6">
        <v>1265.55</v>
      </c>
      <c r="H415" s="5">
        <v>13921.05</v>
      </c>
      <c r="I415">
        <v>3.3</v>
      </c>
    </row>
    <row r="416" spans="1:9" x14ac:dyDescent="0.35">
      <c r="A416" t="s">
        <v>688</v>
      </c>
      <c r="B416" s="1">
        <v>45965</v>
      </c>
      <c r="C416" t="s">
        <v>23</v>
      </c>
      <c r="D416" t="s">
        <v>12</v>
      </c>
      <c r="E416" t="s">
        <v>90</v>
      </c>
      <c r="F416">
        <v>19</v>
      </c>
      <c r="G416" s="6">
        <v>845.4</v>
      </c>
      <c r="H416" s="5">
        <v>16062.6</v>
      </c>
      <c r="I416">
        <v>4.0999999999999996</v>
      </c>
    </row>
    <row r="417" spans="1:9" x14ac:dyDescent="0.35">
      <c r="A417" t="s">
        <v>689</v>
      </c>
      <c r="B417" s="1">
        <v>45823</v>
      </c>
      <c r="C417" t="s">
        <v>16</v>
      </c>
      <c r="D417" t="s">
        <v>12</v>
      </c>
      <c r="E417" t="s">
        <v>17</v>
      </c>
      <c r="F417">
        <v>15</v>
      </c>
      <c r="G417" s="6">
        <v>1281.3499999999999</v>
      </c>
      <c r="H417" s="5">
        <v>19220.25</v>
      </c>
      <c r="I417">
        <v>3.6</v>
      </c>
    </row>
    <row r="418" spans="1:9" x14ac:dyDescent="0.35">
      <c r="A418" t="s">
        <v>690</v>
      </c>
      <c r="B418" s="1">
        <v>45809</v>
      </c>
      <c r="C418" t="s">
        <v>38</v>
      </c>
      <c r="D418" t="s">
        <v>19</v>
      </c>
      <c r="E418" t="s">
        <v>20</v>
      </c>
      <c r="F418">
        <v>11</v>
      </c>
      <c r="G418" s="6">
        <v>1469.96</v>
      </c>
      <c r="H418" s="5">
        <v>16169.56</v>
      </c>
      <c r="I418">
        <v>3.4</v>
      </c>
    </row>
    <row r="419" spans="1:9" x14ac:dyDescent="0.35">
      <c r="A419" t="s">
        <v>691</v>
      </c>
      <c r="B419" s="1">
        <v>45867</v>
      </c>
      <c r="C419" t="s">
        <v>38</v>
      </c>
      <c r="D419" t="s">
        <v>19</v>
      </c>
      <c r="E419" t="s">
        <v>28</v>
      </c>
      <c r="F419">
        <v>10</v>
      </c>
      <c r="G419" s="6">
        <v>1309.1300000000001</v>
      </c>
      <c r="H419" s="5">
        <v>13091.3</v>
      </c>
      <c r="I419">
        <v>4.5999999999999996</v>
      </c>
    </row>
    <row r="420" spans="1:9" x14ac:dyDescent="0.35">
      <c r="A420" t="s">
        <v>692</v>
      </c>
      <c r="B420" s="1">
        <v>45709</v>
      </c>
      <c r="C420" t="s">
        <v>38</v>
      </c>
      <c r="D420" t="s">
        <v>12</v>
      </c>
      <c r="E420" t="s">
        <v>90</v>
      </c>
      <c r="F420">
        <v>4</v>
      </c>
      <c r="G420" s="6">
        <v>228.17</v>
      </c>
      <c r="H420" s="5">
        <v>912.68</v>
      </c>
      <c r="I420">
        <v>4.3</v>
      </c>
    </row>
    <row r="421" spans="1:9" x14ac:dyDescent="0.35">
      <c r="A421" t="s">
        <v>693</v>
      </c>
      <c r="B421" s="1">
        <v>45689</v>
      </c>
      <c r="C421" t="s">
        <v>38</v>
      </c>
      <c r="D421" t="s">
        <v>24</v>
      </c>
      <c r="E421" t="s">
        <v>25</v>
      </c>
      <c r="F421">
        <v>8</v>
      </c>
      <c r="G421" s="6">
        <v>672.9</v>
      </c>
      <c r="H421" s="5">
        <v>5383.2</v>
      </c>
      <c r="I421">
        <v>3.4</v>
      </c>
    </row>
    <row r="422" spans="1:9" x14ac:dyDescent="0.35">
      <c r="A422" t="s">
        <v>694</v>
      </c>
      <c r="B422" s="1">
        <v>45764</v>
      </c>
      <c r="C422" t="s">
        <v>11</v>
      </c>
      <c r="D422" t="s">
        <v>12</v>
      </c>
      <c r="E422" t="s">
        <v>90</v>
      </c>
      <c r="F422">
        <v>17</v>
      </c>
      <c r="G422" s="6">
        <v>141.72999999999999</v>
      </c>
      <c r="H422" s="5">
        <v>2409.41</v>
      </c>
      <c r="I422">
        <v>3.4</v>
      </c>
    </row>
    <row r="423" spans="1:9" x14ac:dyDescent="0.35">
      <c r="A423" t="s">
        <v>695</v>
      </c>
      <c r="B423" s="1">
        <v>45783</v>
      </c>
      <c r="C423" t="s">
        <v>11</v>
      </c>
      <c r="D423" t="s">
        <v>12</v>
      </c>
      <c r="E423" t="s">
        <v>17</v>
      </c>
      <c r="F423">
        <v>8</v>
      </c>
      <c r="G423" s="6">
        <v>423.73</v>
      </c>
      <c r="H423" s="5">
        <v>3389.84</v>
      </c>
      <c r="I423">
        <v>4.4000000000000004</v>
      </c>
    </row>
    <row r="424" spans="1:9" x14ac:dyDescent="0.35">
      <c r="A424" t="s">
        <v>696</v>
      </c>
      <c r="B424" s="1">
        <v>45854</v>
      </c>
      <c r="C424" t="s">
        <v>16</v>
      </c>
      <c r="D424" t="s">
        <v>19</v>
      </c>
      <c r="E424" t="s">
        <v>20</v>
      </c>
      <c r="F424">
        <v>7</v>
      </c>
      <c r="G424" s="6">
        <v>1063.31</v>
      </c>
      <c r="H424" s="5">
        <v>7443.17</v>
      </c>
      <c r="I424">
        <v>3.6</v>
      </c>
    </row>
    <row r="425" spans="1:9" x14ac:dyDescent="0.35">
      <c r="A425" t="s">
        <v>697</v>
      </c>
      <c r="B425" s="1">
        <v>45964</v>
      </c>
      <c r="C425" t="s">
        <v>16</v>
      </c>
      <c r="D425" t="s">
        <v>24</v>
      </c>
      <c r="E425" t="s">
        <v>69</v>
      </c>
      <c r="F425">
        <v>7</v>
      </c>
      <c r="G425" s="6">
        <v>1025.1199999999999</v>
      </c>
      <c r="H425" s="5">
        <v>7175.84</v>
      </c>
      <c r="I425">
        <v>4.7</v>
      </c>
    </row>
    <row r="426" spans="1:9" x14ac:dyDescent="0.35">
      <c r="A426" t="s">
        <v>698</v>
      </c>
      <c r="B426" s="1">
        <v>45941</v>
      </c>
      <c r="C426" t="s">
        <v>23</v>
      </c>
      <c r="D426" t="s">
        <v>12</v>
      </c>
      <c r="E426" t="s">
        <v>17</v>
      </c>
      <c r="F426">
        <v>21</v>
      </c>
      <c r="G426" s="6">
        <v>505.72</v>
      </c>
      <c r="H426" s="5">
        <v>10620.12</v>
      </c>
      <c r="I426">
        <v>3.1</v>
      </c>
    </row>
    <row r="427" spans="1:9" x14ac:dyDescent="0.35">
      <c r="A427" t="s">
        <v>700</v>
      </c>
      <c r="B427" s="1">
        <v>45830</v>
      </c>
      <c r="C427" t="s">
        <v>38</v>
      </c>
      <c r="D427" t="s">
        <v>19</v>
      </c>
      <c r="E427" t="s">
        <v>28</v>
      </c>
      <c r="F427">
        <v>17</v>
      </c>
      <c r="G427" s="6">
        <v>1200.74</v>
      </c>
      <c r="H427" s="5">
        <v>20412.580000000002</v>
      </c>
      <c r="I427">
        <v>4.3</v>
      </c>
    </row>
    <row r="428" spans="1:9" x14ac:dyDescent="0.35">
      <c r="A428" t="s">
        <v>702</v>
      </c>
      <c r="B428" s="1">
        <v>45794</v>
      </c>
      <c r="C428" t="s">
        <v>23</v>
      </c>
      <c r="D428" t="s">
        <v>12</v>
      </c>
      <c r="E428" t="s">
        <v>17</v>
      </c>
      <c r="F428">
        <v>16</v>
      </c>
      <c r="G428" s="6">
        <v>637.89</v>
      </c>
      <c r="H428" s="5">
        <v>10206.24</v>
      </c>
      <c r="I428">
        <v>3.8</v>
      </c>
    </row>
    <row r="429" spans="1:9" x14ac:dyDescent="0.35">
      <c r="A429" t="s">
        <v>703</v>
      </c>
      <c r="B429" s="1">
        <v>45898</v>
      </c>
      <c r="C429" t="s">
        <v>16</v>
      </c>
      <c r="D429" t="s">
        <v>24</v>
      </c>
      <c r="E429" t="s">
        <v>69</v>
      </c>
      <c r="F429">
        <v>12</v>
      </c>
      <c r="G429" s="6">
        <v>1018.5</v>
      </c>
      <c r="H429" s="5">
        <v>12222</v>
      </c>
      <c r="I429">
        <v>3.6</v>
      </c>
    </row>
    <row r="430" spans="1:9" x14ac:dyDescent="0.35">
      <c r="A430" t="s">
        <v>705</v>
      </c>
      <c r="B430" s="1">
        <v>45785</v>
      </c>
      <c r="C430" t="s">
        <v>38</v>
      </c>
      <c r="D430" t="s">
        <v>24</v>
      </c>
      <c r="E430" t="s">
        <v>69</v>
      </c>
      <c r="F430">
        <v>22</v>
      </c>
      <c r="G430" s="6">
        <v>1064.8699999999999</v>
      </c>
      <c r="H430" s="5">
        <v>23427.14</v>
      </c>
      <c r="I430">
        <v>3.1</v>
      </c>
    </row>
    <row r="431" spans="1:9" x14ac:dyDescent="0.35">
      <c r="A431" t="s">
        <v>706</v>
      </c>
      <c r="B431" s="1">
        <v>45793</v>
      </c>
      <c r="C431" t="s">
        <v>16</v>
      </c>
      <c r="D431" t="s">
        <v>24</v>
      </c>
      <c r="E431" t="s">
        <v>69</v>
      </c>
      <c r="F431">
        <v>14</v>
      </c>
      <c r="G431" s="6">
        <v>591.64</v>
      </c>
      <c r="H431" s="5">
        <v>8282.9599999999991</v>
      </c>
      <c r="I431">
        <v>4.4000000000000004</v>
      </c>
    </row>
    <row r="432" spans="1:9" x14ac:dyDescent="0.35">
      <c r="A432" t="s">
        <v>707</v>
      </c>
      <c r="B432" s="1">
        <v>45701</v>
      </c>
      <c r="C432" t="s">
        <v>11</v>
      </c>
      <c r="D432" t="s">
        <v>24</v>
      </c>
      <c r="E432" t="s">
        <v>25</v>
      </c>
      <c r="F432">
        <v>22</v>
      </c>
      <c r="G432" s="6">
        <v>1491.41</v>
      </c>
      <c r="H432" s="5">
        <v>32811.019999999997</v>
      </c>
      <c r="I432">
        <v>4.3</v>
      </c>
    </row>
    <row r="433" spans="1:9" x14ac:dyDescent="0.35">
      <c r="A433" t="s">
        <v>708</v>
      </c>
      <c r="B433" s="1">
        <v>45959</v>
      </c>
      <c r="C433" t="s">
        <v>38</v>
      </c>
      <c r="D433" t="s">
        <v>24</v>
      </c>
      <c r="E433" t="s">
        <v>25</v>
      </c>
      <c r="F433">
        <v>5</v>
      </c>
      <c r="G433" s="6">
        <v>950.4</v>
      </c>
      <c r="H433" s="5">
        <v>4752</v>
      </c>
      <c r="I433">
        <v>3.1</v>
      </c>
    </row>
    <row r="434" spans="1:9" x14ac:dyDescent="0.35">
      <c r="A434" t="s">
        <v>710</v>
      </c>
      <c r="B434" s="1">
        <v>45694</v>
      </c>
      <c r="C434" t="s">
        <v>11</v>
      </c>
      <c r="D434" t="s">
        <v>24</v>
      </c>
      <c r="E434" t="s">
        <v>25</v>
      </c>
      <c r="F434">
        <v>1</v>
      </c>
      <c r="G434" s="6">
        <v>118.96</v>
      </c>
      <c r="H434" s="5">
        <v>118.96</v>
      </c>
      <c r="I434">
        <v>3.2</v>
      </c>
    </row>
    <row r="435" spans="1:9" x14ac:dyDescent="0.35">
      <c r="A435" t="s">
        <v>711</v>
      </c>
      <c r="B435" s="1">
        <v>45766</v>
      </c>
      <c r="C435" t="s">
        <v>38</v>
      </c>
      <c r="D435" t="s">
        <v>19</v>
      </c>
      <c r="E435" t="s">
        <v>31</v>
      </c>
      <c r="F435">
        <v>20</v>
      </c>
      <c r="G435" s="6">
        <v>643.45000000000005</v>
      </c>
      <c r="H435" s="5">
        <v>12869</v>
      </c>
      <c r="I435">
        <v>4.4000000000000004</v>
      </c>
    </row>
    <row r="436" spans="1:9" x14ac:dyDescent="0.35">
      <c r="A436" t="s">
        <v>712</v>
      </c>
      <c r="B436" s="1">
        <v>45707</v>
      </c>
      <c r="C436" t="s">
        <v>11</v>
      </c>
      <c r="D436" t="s">
        <v>19</v>
      </c>
      <c r="E436" t="s">
        <v>28</v>
      </c>
      <c r="F436">
        <v>6</v>
      </c>
      <c r="G436" s="6">
        <v>1259.8900000000001</v>
      </c>
      <c r="H436" s="5">
        <v>7559.34</v>
      </c>
      <c r="I436">
        <v>4.2</v>
      </c>
    </row>
    <row r="437" spans="1:9" x14ac:dyDescent="0.35">
      <c r="A437" t="s">
        <v>713</v>
      </c>
      <c r="B437" s="1">
        <v>45956</v>
      </c>
      <c r="C437" t="s">
        <v>16</v>
      </c>
      <c r="D437" t="s">
        <v>19</v>
      </c>
      <c r="E437" t="s">
        <v>28</v>
      </c>
      <c r="F437">
        <v>2</v>
      </c>
      <c r="G437" s="6">
        <v>666.66</v>
      </c>
      <c r="H437" s="5">
        <v>1333.32</v>
      </c>
      <c r="I437">
        <v>4.5999999999999996</v>
      </c>
    </row>
    <row r="438" spans="1:9" x14ac:dyDescent="0.35">
      <c r="A438" t="s">
        <v>714</v>
      </c>
      <c r="B438" s="1">
        <v>45818</v>
      </c>
      <c r="C438" t="s">
        <v>38</v>
      </c>
      <c r="D438" t="s">
        <v>24</v>
      </c>
      <c r="E438" t="s">
        <v>69</v>
      </c>
      <c r="F438">
        <v>12</v>
      </c>
      <c r="G438" s="6">
        <v>533.05999999999995</v>
      </c>
      <c r="H438" s="5">
        <v>6396.72</v>
      </c>
      <c r="I438">
        <v>4.7</v>
      </c>
    </row>
    <row r="439" spans="1:9" x14ac:dyDescent="0.35">
      <c r="A439" t="s">
        <v>715</v>
      </c>
      <c r="B439" s="1">
        <v>45819</v>
      </c>
      <c r="C439" t="s">
        <v>16</v>
      </c>
      <c r="D439" t="s">
        <v>24</v>
      </c>
      <c r="E439" t="s">
        <v>44</v>
      </c>
      <c r="F439">
        <v>7</v>
      </c>
      <c r="G439" s="6">
        <v>991.13</v>
      </c>
      <c r="H439" s="5">
        <v>6937.91</v>
      </c>
      <c r="I439">
        <v>3.4</v>
      </c>
    </row>
    <row r="440" spans="1:9" x14ac:dyDescent="0.35">
      <c r="A440" t="s">
        <v>716</v>
      </c>
      <c r="B440" s="1">
        <v>45832</v>
      </c>
      <c r="C440" t="s">
        <v>38</v>
      </c>
      <c r="D440" t="s">
        <v>12</v>
      </c>
      <c r="E440" t="s">
        <v>90</v>
      </c>
      <c r="F440">
        <v>16</v>
      </c>
      <c r="G440" s="6">
        <v>1115.1500000000001</v>
      </c>
      <c r="H440" s="5">
        <v>17842.400000000001</v>
      </c>
      <c r="I440">
        <v>3.4</v>
      </c>
    </row>
    <row r="441" spans="1:9" x14ac:dyDescent="0.35">
      <c r="A441" t="s">
        <v>718</v>
      </c>
      <c r="B441" s="1">
        <v>45816</v>
      </c>
      <c r="C441" t="s">
        <v>16</v>
      </c>
      <c r="D441" t="s">
        <v>12</v>
      </c>
      <c r="E441" t="s">
        <v>90</v>
      </c>
      <c r="F441">
        <v>16</v>
      </c>
      <c r="G441" s="6">
        <v>1240.01</v>
      </c>
      <c r="H441" s="5">
        <v>19840.16</v>
      </c>
      <c r="I441">
        <v>4.5</v>
      </c>
    </row>
    <row r="442" spans="1:9" x14ac:dyDescent="0.35">
      <c r="A442" t="s">
        <v>720</v>
      </c>
      <c r="B442" s="1">
        <v>45890</v>
      </c>
      <c r="C442" t="s">
        <v>38</v>
      </c>
      <c r="D442" t="s">
        <v>12</v>
      </c>
      <c r="E442" t="s">
        <v>90</v>
      </c>
      <c r="F442">
        <v>2</v>
      </c>
      <c r="G442" s="6">
        <v>815.83</v>
      </c>
      <c r="H442" s="5">
        <v>1631.66</v>
      </c>
      <c r="I442">
        <v>4.3</v>
      </c>
    </row>
    <row r="443" spans="1:9" x14ac:dyDescent="0.35">
      <c r="A443" t="s">
        <v>721</v>
      </c>
      <c r="B443" s="1">
        <v>45880</v>
      </c>
      <c r="C443" t="s">
        <v>23</v>
      </c>
      <c r="D443" t="s">
        <v>19</v>
      </c>
      <c r="E443" t="s">
        <v>31</v>
      </c>
      <c r="F443">
        <v>18</v>
      </c>
      <c r="G443" s="6">
        <v>531.41</v>
      </c>
      <c r="H443" s="5">
        <v>9565.3799999999992</v>
      </c>
      <c r="I443">
        <v>3.1</v>
      </c>
    </row>
    <row r="444" spans="1:9" x14ac:dyDescent="0.35">
      <c r="A444" t="s">
        <v>723</v>
      </c>
      <c r="B444" s="1">
        <v>45877</v>
      </c>
      <c r="C444" t="s">
        <v>38</v>
      </c>
      <c r="D444" t="s">
        <v>19</v>
      </c>
      <c r="E444" t="s">
        <v>28</v>
      </c>
      <c r="F444">
        <v>21</v>
      </c>
      <c r="G444" s="6">
        <v>1234.3900000000001</v>
      </c>
      <c r="H444" s="5">
        <v>25922.19</v>
      </c>
      <c r="I444">
        <v>3.8</v>
      </c>
    </row>
    <row r="445" spans="1:9" x14ac:dyDescent="0.35">
      <c r="A445" t="s">
        <v>724</v>
      </c>
      <c r="B445" s="1">
        <v>45677</v>
      </c>
      <c r="C445" t="s">
        <v>16</v>
      </c>
      <c r="D445" t="s">
        <v>19</v>
      </c>
      <c r="E445" t="s">
        <v>20</v>
      </c>
      <c r="F445">
        <v>19</v>
      </c>
      <c r="G445" s="6">
        <v>117</v>
      </c>
      <c r="H445" s="5">
        <v>2223</v>
      </c>
      <c r="I445">
        <v>4.2</v>
      </c>
    </row>
    <row r="446" spans="1:9" x14ac:dyDescent="0.35">
      <c r="A446" t="s">
        <v>725</v>
      </c>
      <c r="B446" s="1">
        <v>45823</v>
      </c>
      <c r="C446" t="s">
        <v>23</v>
      </c>
      <c r="D446" t="s">
        <v>12</v>
      </c>
      <c r="E446" t="s">
        <v>17</v>
      </c>
      <c r="F446">
        <v>22</v>
      </c>
      <c r="G446" s="6">
        <v>282.88</v>
      </c>
      <c r="H446" s="5">
        <v>6223.36</v>
      </c>
      <c r="I446">
        <v>4.5999999999999996</v>
      </c>
    </row>
    <row r="447" spans="1:9" x14ac:dyDescent="0.35">
      <c r="A447" t="s">
        <v>726</v>
      </c>
      <c r="B447" s="1">
        <v>45758</v>
      </c>
      <c r="C447" t="s">
        <v>23</v>
      </c>
      <c r="D447" t="s">
        <v>24</v>
      </c>
      <c r="E447" t="s">
        <v>69</v>
      </c>
      <c r="F447">
        <v>22</v>
      </c>
      <c r="G447" s="6">
        <v>800.58</v>
      </c>
      <c r="H447" s="5">
        <v>17612.759999999998</v>
      </c>
      <c r="I447">
        <v>4.5999999999999996</v>
      </c>
    </row>
    <row r="448" spans="1:9" x14ac:dyDescent="0.35">
      <c r="A448" t="s">
        <v>727</v>
      </c>
      <c r="B448" s="1">
        <v>45885</v>
      </c>
      <c r="C448" t="s">
        <v>11</v>
      </c>
      <c r="D448" t="s">
        <v>19</v>
      </c>
      <c r="E448" t="s">
        <v>20</v>
      </c>
      <c r="F448">
        <v>15</v>
      </c>
      <c r="G448" s="6">
        <v>681.92</v>
      </c>
      <c r="H448" s="5">
        <v>10228.799999999999</v>
      </c>
      <c r="I448">
        <v>4.5999999999999996</v>
      </c>
    </row>
    <row r="449" spans="1:9" x14ac:dyDescent="0.35">
      <c r="A449" t="s">
        <v>728</v>
      </c>
      <c r="B449" s="1">
        <v>45769</v>
      </c>
      <c r="C449" t="s">
        <v>38</v>
      </c>
      <c r="D449" t="s">
        <v>19</v>
      </c>
      <c r="E449" t="s">
        <v>28</v>
      </c>
      <c r="F449">
        <v>18</v>
      </c>
      <c r="G449" s="6">
        <v>828.63</v>
      </c>
      <c r="H449" s="5">
        <v>14915.34</v>
      </c>
      <c r="I449">
        <v>3.2</v>
      </c>
    </row>
    <row r="450" spans="1:9" x14ac:dyDescent="0.35">
      <c r="A450" t="s">
        <v>730</v>
      </c>
      <c r="B450" s="1">
        <v>45726</v>
      </c>
      <c r="C450" t="s">
        <v>16</v>
      </c>
      <c r="D450" t="s">
        <v>24</v>
      </c>
      <c r="E450" t="s">
        <v>44</v>
      </c>
      <c r="F450">
        <v>10</v>
      </c>
      <c r="G450" s="6">
        <v>145.34</v>
      </c>
      <c r="H450" s="5">
        <v>1453.4</v>
      </c>
      <c r="I450">
        <v>4.0999999999999996</v>
      </c>
    </row>
    <row r="451" spans="1:9" x14ac:dyDescent="0.35">
      <c r="A451" t="s">
        <v>732</v>
      </c>
      <c r="B451" s="1">
        <v>45698</v>
      </c>
      <c r="C451" t="s">
        <v>11</v>
      </c>
      <c r="D451" t="s">
        <v>24</v>
      </c>
      <c r="E451" t="s">
        <v>44</v>
      </c>
      <c r="F451">
        <v>9</v>
      </c>
      <c r="G451" s="6">
        <v>252.27</v>
      </c>
      <c r="H451" s="5">
        <v>2270.4299999999998</v>
      </c>
      <c r="I451">
        <v>3.2</v>
      </c>
    </row>
    <row r="452" spans="1:9" x14ac:dyDescent="0.35">
      <c r="A452" t="s">
        <v>733</v>
      </c>
      <c r="B452" s="1">
        <v>45963</v>
      </c>
      <c r="C452" t="s">
        <v>16</v>
      </c>
      <c r="D452" t="s">
        <v>12</v>
      </c>
      <c r="E452" t="s">
        <v>17</v>
      </c>
      <c r="F452">
        <v>23</v>
      </c>
      <c r="G452" s="6">
        <v>483.09</v>
      </c>
      <c r="H452" s="5">
        <v>11111.07</v>
      </c>
      <c r="I452">
        <v>4.7</v>
      </c>
    </row>
    <row r="453" spans="1:9" x14ac:dyDescent="0.35">
      <c r="A453" t="s">
        <v>735</v>
      </c>
      <c r="B453" s="1">
        <v>45804</v>
      </c>
      <c r="C453" t="s">
        <v>16</v>
      </c>
      <c r="D453" t="s">
        <v>12</v>
      </c>
      <c r="E453" t="s">
        <v>17</v>
      </c>
      <c r="F453">
        <v>9</v>
      </c>
      <c r="G453" s="6">
        <v>1355.34</v>
      </c>
      <c r="H453" s="5">
        <v>12198.06</v>
      </c>
      <c r="I453">
        <v>3</v>
      </c>
    </row>
    <row r="454" spans="1:9" x14ac:dyDescent="0.35">
      <c r="A454" t="s">
        <v>736</v>
      </c>
      <c r="B454" s="1">
        <v>45831</v>
      </c>
      <c r="C454" t="s">
        <v>11</v>
      </c>
      <c r="D454" t="s">
        <v>19</v>
      </c>
      <c r="E454" t="s">
        <v>28</v>
      </c>
      <c r="F454">
        <v>9</v>
      </c>
      <c r="G454" s="6">
        <v>1318.71</v>
      </c>
      <c r="H454" s="5">
        <v>11868.39</v>
      </c>
      <c r="I454">
        <v>4.2</v>
      </c>
    </row>
    <row r="455" spans="1:9" x14ac:dyDescent="0.35">
      <c r="A455" t="s">
        <v>738</v>
      </c>
      <c r="B455" s="1">
        <v>45689</v>
      </c>
      <c r="C455" t="s">
        <v>23</v>
      </c>
      <c r="D455" t="s">
        <v>24</v>
      </c>
      <c r="E455" t="s">
        <v>44</v>
      </c>
      <c r="F455">
        <v>10</v>
      </c>
      <c r="G455" s="6">
        <v>1134.02</v>
      </c>
      <c r="H455" s="5">
        <v>11340.2</v>
      </c>
      <c r="I455">
        <v>4.5999999999999996</v>
      </c>
    </row>
    <row r="456" spans="1:9" x14ac:dyDescent="0.35">
      <c r="A456" t="s">
        <v>739</v>
      </c>
      <c r="B456" s="1">
        <v>45950</v>
      </c>
      <c r="C456" t="s">
        <v>23</v>
      </c>
      <c r="D456" t="s">
        <v>12</v>
      </c>
      <c r="E456" t="s">
        <v>17</v>
      </c>
      <c r="F456">
        <v>17</v>
      </c>
      <c r="G456" s="6">
        <v>705.44</v>
      </c>
      <c r="H456" s="5">
        <v>11992.48</v>
      </c>
      <c r="I456">
        <v>4.0999999999999996</v>
      </c>
    </row>
    <row r="457" spans="1:9" x14ac:dyDescent="0.35">
      <c r="A457" t="s">
        <v>741</v>
      </c>
      <c r="B457" s="1">
        <v>45939</v>
      </c>
      <c r="C457" t="s">
        <v>11</v>
      </c>
      <c r="D457" t="s">
        <v>24</v>
      </c>
      <c r="E457" t="s">
        <v>25</v>
      </c>
      <c r="F457">
        <v>20</v>
      </c>
      <c r="G457" s="6">
        <v>1380.16</v>
      </c>
      <c r="H457" s="5">
        <v>27603.200000000001</v>
      </c>
      <c r="I457">
        <v>3.2</v>
      </c>
    </row>
    <row r="458" spans="1:9" x14ac:dyDescent="0.35">
      <c r="A458" t="s">
        <v>742</v>
      </c>
      <c r="B458" s="1">
        <v>45865</v>
      </c>
      <c r="C458" t="s">
        <v>23</v>
      </c>
      <c r="D458" t="s">
        <v>19</v>
      </c>
      <c r="E458" t="s">
        <v>31</v>
      </c>
      <c r="F458">
        <v>19</v>
      </c>
      <c r="G458" s="6">
        <v>333.67</v>
      </c>
      <c r="H458" s="5">
        <v>6339.73</v>
      </c>
      <c r="I458">
        <v>3.1</v>
      </c>
    </row>
    <row r="459" spans="1:9" x14ac:dyDescent="0.35">
      <c r="A459" t="s">
        <v>743</v>
      </c>
      <c r="B459" s="1">
        <v>45897</v>
      </c>
      <c r="C459" t="s">
        <v>11</v>
      </c>
      <c r="D459" t="s">
        <v>24</v>
      </c>
      <c r="E459" t="s">
        <v>25</v>
      </c>
      <c r="F459">
        <v>22</v>
      </c>
      <c r="G459" s="6">
        <v>1484.19</v>
      </c>
      <c r="H459" s="5">
        <v>32652.18</v>
      </c>
      <c r="I459">
        <v>3.4</v>
      </c>
    </row>
    <row r="460" spans="1:9" x14ac:dyDescent="0.35">
      <c r="A460" t="s">
        <v>744</v>
      </c>
      <c r="B460" s="1">
        <v>45710</v>
      </c>
      <c r="C460" t="s">
        <v>38</v>
      </c>
      <c r="D460" t="s">
        <v>12</v>
      </c>
      <c r="E460" t="s">
        <v>17</v>
      </c>
      <c r="F460">
        <v>3</v>
      </c>
      <c r="G460" s="6">
        <v>428.98</v>
      </c>
      <c r="H460" s="5">
        <v>1286.94</v>
      </c>
      <c r="I460">
        <v>3</v>
      </c>
    </row>
    <row r="461" spans="1:9" x14ac:dyDescent="0.35">
      <c r="A461" t="s">
        <v>746</v>
      </c>
      <c r="B461" s="1">
        <v>45895</v>
      </c>
      <c r="C461" t="s">
        <v>23</v>
      </c>
      <c r="D461" t="s">
        <v>19</v>
      </c>
      <c r="E461" t="s">
        <v>31</v>
      </c>
      <c r="F461">
        <v>22</v>
      </c>
      <c r="G461" s="6">
        <v>103.4</v>
      </c>
      <c r="H461" s="5">
        <v>2274.8000000000002</v>
      </c>
      <c r="I461">
        <v>4.5999999999999996</v>
      </c>
    </row>
    <row r="462" spans="1:9" x14ac:dyDescent="0.35">
      <c r="A462" t="s">
        <v>747</v>
      </c>
      <c r="B462" s="1">
        <v>45847</v>
      </c>
      <c r="C462" t="s">
        <v>23</v>
      </c>
      <c r="D462" t="s">
        <v>12</v>
      </c>
      <c r="E462" t="s">
        <v>90</v>
      </c>
      <c r="F462">
        <v>17</v>
      </c>
      <c r="G462" s="6">
        <v>1097.3399999999999</v>
      </c>
      <c r="H462" s="5">
        <v>18654.78</v>
      </c>
      <c r="I462">
        <v>3.5</v>
      </c>
    </row>
    <row r="463" spans="1:9" x14ac:dyDescent="0.35">
      <c r="A463" t="s">
        <v>749</v>
      </c>
      <c r="B463" s="1">
        <v>46014</v>
      </c>
      <c r="C463" t="s">
        <v>23</v>
      </c>
      <c r="D463" t="s">
        <v>19</v>
      </c>
      <c r="E463" t="s">
        <v>31</v>
      </c>
      <c r="F463">
        <v>23</v>
      </c>
      <c r="G463" s="6">
        <v>1263.28</v>
      </c>
      <c r="H463" s="5">
        <v>29055.439999999999</v>
      </c>
      <c r="I463">
        <v>4.5</v>
      </c>
    </row>
    <row r="464" spans="1:9" x14ac:dyDescent="0.35">
      <c r="A464" t="s">
        <v>751</v>
      </c>
      <c r="B464" s="1">
        <v>45823</v>
      </c>
      <c r="C464" t="s">
        <v>23</v>
      </c>
      <c r="D464" t="s">
        <v>12</v>
      </c>
      <c r="E464" t="s">
        <v>17</v>
      </c>
      <c r="F464">
        <v>2</v>
      </c>
      <c r="G464" s="6">
        <v>799.03</v>
      </c>
      <c r="H464" s="5">
        <v>1598.06</v>
      </c>
      <c r="I464">
        <v>4.5999999999999996</v>
      </c>
    </row>
    <row r="465" spans="1:9" x14ac:dyDescent="0.35">
      <c r="A465" t="s">
        <v>752</v>
      </c>
      <c r="B465" s="1">
        <v>45746</v>
      </c>
      <c r="C465" t="s">
        <v>16</v>
      </c>
      <c r="D465" t="s">
        <v>19</v>
      </c>
      <c r="E465" t="s">
        <v>28</v>
      </c>
      <c r="F465">
        <v>1</v>
      </c>
      <c r="G465" s="6">
        <v>1083.8800000000001</v>
      </c>
      <c r="H465" s="5">
        <v>1083.8800000000001</v>
      </c>
      <c r="I465">
        <v>3.9</v>
      </c>
    </row>
    <row r="466" spans="1:9" x14ac:dyDescent="0.35">
      <c r="A466" t="s">
        <v>753</v>
      </c>
      <c r="B466" s="1">
        <v>45762</v>
      </c>
      <c r="C466" t="s">
        <v>11</v>
      </c>
      <c r="D466" t="s">
        <v>12</v>
      </c>
      <c r="E466" t="s">
        <v>17</v>
      </c>
      <c r="F466">
        <v>24</v>
      </c>
      <c r="G466" s="6">
        <v>140.96</v>
      </c>
      <c r="H466" s="5">
        <v>3383.04</v>
      </c>
      <c r="I466">
        <v>4.4000000000000004</v>
      </c>
    </row>
    <row r="467" spans="1:9" x14ac:dyDescent="0.35">
      <c r="A467" t="s">
        <v>755</v>
      </c>
      <c r="B467" s="1">
        <v>45973</v>
      </c>
      <c r="C467" t="s">
        <v>38</v>
      </c>
      <c r="D467" t="s">
        <v>19</v>
      </c>
      <c r="E467" t="s">
        <v>28</v>
      </c>
      <c r="F467">
        <v>23</v>
      </c>
      <c r="G467" s="6">
        <v>857.23</v>
      </c>
      <c r="H467" s="5">
        <v>19716.29</v>
      </c>
      <c r="I467">
        <v>3.2</v>
      </c>
    </row>
    <row r="468" spans="1:9" x14ac:dyDescent="0.35">
      <c r="A468" t="s">
        <v>756</v>
      </c>
      <c r="B468" s="1">
        <v>45765</v>
      </c>
      <c r="C468" t="s">
        <v>38</v>
      </c>
      <c r="D468" t="s">
        <v>12</v>
      </c>
      <c r="E468" t="s">
        <v>17</v>
      </c>
      <c r="F468">
        <v>8</v>
      </c>
      <c r="G468" s="6">
        <v>1281</v>
      </c>
      <c r="H468" s="5">
        <v>10248</v>
      </c>
      <c r="I468">
        <v>3.8</v>
      </c>
    </row>
    <row r="469" spans="1:9" x14ac:dyDescent="0.35">
      <c r="A469" t="s">
        <v>757</v>
      </c>
      <c r="B469" s="1">
        <v>45751</v>
      </c>
      <c r="C469" t="s">
        <v>11</v>
      </c>
      <c r="D469" t="s">
        <v>12</v>
      </c>
      <c r="E469" t="s">
        <v>90</v>
      </c>
      <c r="F469">
        <v>10</v>
      </c>
      <c r="G469" s="6">
        <v>590.64</v>
      </c>
      <c r="H469" s="5">
        <v>5906.4</v>
      </c>
      <c r="I469">
        <v>4.9000000000000004</v>
      </c>
    </row>
    <row r="470" spans="1:9" x14ac:dyDescent="0.35">
      <c r="A470" t="s">
        <v>759</v>
      </c>
      <c r="B470" s="1">
        <v>45978</v>
      </c>
      <c r="C470" t="s">
        <v>23</v>
      </c>
      <c r="D470" t="s">
        <v>12</v>
      </c>
      <c r="E470" t="s">
        <v>13</v>
      </c>
      <c r="F470">
        <v>19</v>
      </c>
      <c r="G470" s="6">
        <v>734.94</v>
      </c>
      <c r="H470" s="5">
        <v>13963.86</v>
      </c>
      <c r="I470">
        <v>3.9</v>
      </c>
    </row>
    <row r="471" spans="1:9" x14ac:dyDescent="0.35">
      <c r="A471" t="s">
        <v>760</v>
      </c>
      <c r="B471" s="1">
        <v>45724</v>
      </c>
      <c r="C471" t="s">
        <v>23</v>
      </c>
      <c r="D471" t="s">
        <v>19</v>
      </c>
      <c r="E471" t="s">
        <v>28</v>
      </c>
      <c r="F471">
        <v>6</v>
      </c>
      <c r="G471" s="6">
        <v>1125.1400000000001</v>
      </c>
      <c r="H471" s="5">
        <v>6750.84</v>
      </c>
      <c r="I471">
        <v>4.8</v>
      </c>
    </row>
    <row r="472" spans="1:9" x14ac:dyDescent="0.35">
      <c r="A472" t="s">
        <v>762</v>
      </c>
      <c r="B472" s="1">
        <v>45748</v>
      </c>
      <c r="C472" t="s">
        <v>23</v>
      </c>
      <c r="D472" t="s">
        <v>12</v>
      </c>
      <c r="E472" t="s">
        <v>17</v>
      </c>
      <c r="F472">
        <v>6</v>
      </c>
      <c r="G472" s="6">
        <v>97</v>
      </c>
      <c r="H472" s="5">
        <v>582</v>
      </c>
      <c r="I472">
        <v>3.5</v>
      </c>
    </row>
    <row r="473" spans="1:9" x14ac:dyDescent="0.35">
      <c r="A473" t="s">
        <v>763</v>
      </c>
      <c r="B473" s="1">
        <v>45921</v>
      </c>
      <c r="C473" t="s">
        <v>16</v>
      </c>
      <c r="D473" t="s">
        <v>24</v>
      </c>
      <c r="E473" t="s">
        <v>69</v>
      </c>
      <c r="F473">
        <v>19</v>
      </c>
      <c r="G473" s="6">
        <v>1341.82</v>
      </c>
      <c r="H473" s="5">
        <v>25494.58</v>
      </c>
      <c r="I473">
        <v>4.8</v>
      </c>
    </row>
    <row r="474" spans="1:9" x14ac:dyDescent="0.35">
      <c r="A474" t="s">
        <v>764</v>
      </c>
      <c r="B474" s="1">
        <v>45993</v>
      </c>
      <c r="C474" t="s">
        <v>16</v>
      </c>
      <c r="D474" t="s">
        <v>24</v>
      </c>
      <c r="E474" t="s">
        <v>69</v>
      </c>
      <c r="F474">
        <v>17</v>
      </c>
      <c r="G474" s="6">
        <v>816.26</v>
      </c>
      <c r="H474" s="5">
        <v>13876.42</v>
      </c>
      <c r="I474">
        <v>4.5</v>
      </c>
    </row>
    <row r="475" spans="1:9" x14ac:dyDescent="0.35">
      <c r="A475" t="s">
        <v>765</v>
      </c>
      <c r="B475" s="1">
        <v>45945</v>
      </c>
      <c r="C475" t="s">
        <v>11</v>
      </c>
      <c r="D475" t="s">
        <v>12</v>
      </c>
      <c r="E475" t="s">
        <v>17</v>
      </c>
      <c r="F475">
        <v>3</v>
      </c>
      <c r="G475" s="6">
        <v>833.66</v>
      </c>
      <c r="H475" s="5">
        <v>2500.98</v>
      </c>
      <c r="I475">
        <v>4.3</v>
      </c>
    </row>
    <row r="476" spans="1:9" x14ac:dyDescent="0.35">
      <c r="A476" t="s">
        <v>767</v>
      </c>
      <c r="B476" s="1">
        <v>45741</v>
      </c>
      <c r="C476" t="s">
        <v>16</v>
      </c>
      <c r="D476" t="s">
        <v>19</v>
      </c>
      <c r="E476" t="s">
        <v>20</v>
      </c>
      <c r="F476">
        <v>12</v>
      </c>
      <c r="G476" s="6">
        <v>1185.71</v>
      </c>
      <c r="H476" s="5">
        <v>14228.52</v>
      </c>
      <c r="I476">
        <v>4.5999999999999996</v>
      </c>
    </row>
    <row r="477" spans="1:9" x14ac:dyDescent="0.35">
      <c r="A477" t="s">
        <v>768</v>
      </c>
      <c r="B477" s="1">
        <v>45816</v>
      </c>
      <c r="C477" t="s">
        <v>11</v>
      </c>
      <c r="D477" t="s">
        <v>12</v>
      </c>
      <c r="E477" t="s">
        <v>13</v>
      </c>
      <c r="F477">
        <v>9</v>
      </c>
      <c r="G477" s="6">
        <v>1404.54</v>
      </c>
      <c r="H477" s="5">
        <v>12640.86</v>
      </c>
      <c r="I477">
        <v>4.2</v>
      </c>
    </row>
    <row r="478" spans="1:9" x14ac:dyDescent="0.35">
      <c r="A478" t="s">
        <v>769</v>
      </c>
      <c r="B478" s="1">
        <v>45908</v>
      </c>
      <c r="C478" t="s">
        <v>38</v>
      </c>
      <c r="D478" t="s">
        <v>12</v>
      </c>
      <c r="E478" t="s">
        <v>13</v>
      </c>
      <c r="F478">
        <v>22</v>
      </c>
      <c r="G478" s="6">
        <v>1426.62</v>
      </c>
      <c r="H478" s="5">
        <v>31385.64</v>
      </c>
      <c r="I478">
        <v>4.5999999999999996</v>
      </c>
    </row>
    <row r="479" spans="1:9" x14ac:dyDescent="0.35">
      <c r="A479" t="s">
        <v>770</v>
      </c>
      <c r="B479" s="1">
        <v>45987</v>
      </c>
      <c r="C479" t="s">
        <v>16</v>
      </c>
      <c r="D479" t="s">
        <v>24</v>
      </c>
      <c r="E479" t="s">
        <v>69</v>
      </c>
      <c r="F479">
        <v>6</v>
      </c>
      <c r="G479" s="6">
        <v>912.98</v>
      </c>
      <c r="H479" s="5">
        <v>5477.88</v>
      </c>
      <c r="I479">
        <v>4.8</v>
      </c>
    </row>
    <row r="480" spans="1:9" x14ac:dyDescent="0.35">
      <c r="A480" t="s">
        <v>771</v>
      </c>
      <c r="B480" s="1">
        <v>45699</v>
      </c>
      <c r="C480" t="s">
        <v>23</v>
      </c>
      <c r="D480" t="s">
        <v>12</v>
      </c>
      <c r="E480" t="s">
        <v>90</v>
      </c>
      <c r="F480">
        <v>17</v>
      </c>
      <c r="G480" s="6">
        <v>455.09</v>
      </c>
      <c r="H480" s="5">
        <v>7736.53</v>
      </c>
      <c r="I480">
        <v>3.3</v>
      </c>
    </row>
    <row r="481" spans="1:9" x14ac:dyDescent="0.35">
      <c r="A481" t="s">
        <v>773</v>
      </c>
      <c r="B481" s="1">
        <v>45710</v>
      </c>
      <c r="C481" t="s">
        <v>11</v>
      </c>
      <c r="D481" t="s">
        <v>19</v>
      </c>
      <c r="E481" t="s">
        <v>20</v>
      </c>
      <c r="F481">
        <v>23</v>
      </c>
      <c r="G481" s="6">
        <v>378.28</v>
      </c>
      <c r="H481" s="5">
        <v>8700.44</v>
      </c>
      <c r="I481">
        <v>4.5999999999999996</v>
      </c>
    </row>
    <row r="482" spans="1:9" x14ac:dyDescent="0.35">
      <c r="A482" t="s">
        <v>774</v>
      </c>
      <c r="B482" s="1">
        <v>45783</v>
      </c>
      <c r="C482" t="s">
        <v>38</v>
      </c>
      <c r="D482" t="s">
        <v>19</v>
      </c>
      <c r="E482" t="s">
        <v>20</v>
      </c>
      <c r="F482">
        <v>17</v>
      </c>
      <c r="G482" s="6">
        <v>814.22</v>
      </c>
      <c r="H482" s="5">
        <v>13841.74</v>
      </c>
      <c r="I482">
        <v>3.8</v>
      </c>
    </row>
    <row r="483" spans="1:9" x14ac:dyDescent="0.35">
      <c r="A483" t="s">
        <v>775</v>
      </c>
      <c r="B483" s="1">
        <v>45986</v>
      </c>
      <c r="C483" t="s">
        <v>16</v>
      </c>
      <c r="D483" t="s">
        <v>24</v>
      </c>
      <c r="E483" t="s">
        <v>44</v>
      </c>
      <c r="F483">
        <v>12</v>
      </c>
      <c r="G483" s="6">
        <v>1458</v>
      </c>
      <c r="H483" s="5">
        <v>17496</v>
      </c>
      <c r="I483">
        <v>4</v>
      </c>
    </row>
    <row r="484" spans="1:9" x14ac:dyDescent="0.35">
      <c r="A484" t="s">
        <v>777</v>
      </c>
      <c r="B484" s="1">
        <v>46003</v>
      </c>
      <c r="C484" t="s">
        <v>11</v>
      </c>
      <c r="D484" t="s">
        <v>19</v>
      </c>
      <c r="E484" t="s">
        <v>28</v>
      </c>
      <c r="F484">
        <v>19</v>
      </c>
      <c r="G484" s="6">
        <v>568.4</v>
      </c>
      <c r="H484" s="5">
        <v>10799.6</v>
      </c>
      <c r="I484">
        <v>3.6</v>
      </c>
    </row>
    <row r="485" spans="1:9" x14ac:dyDescent="0.35">
      <c r="A485" t="s">
        <v>779</v>
      </c>
      <c r="B485" s="1">
        <v>45804</v>
      </c>
      <c r="C485" t="s">
        <v>16</v>
      </c>
      <c r="D485" t="s">
        <v>12</v>
      </c>
      <c r="E485" t="s">
        <v>17</v>
      </c>
      <c r="F485">
        <v>20</v>
      </c>
      <c r="G485" s="6">
        <v>1392.8</v>
      </c>
      <c r="H485" s="5">
        <v>27856</v>
      </c>
      <c r="I485">
        <v>3.4</v>
      </c>
    </row>
    <row r="486" spans="1:9" x14ac:dyDescent="0.35">
      <c r="A486" t="s">
        <v>780</v>
      </c>
      <c r="B486" s="1">
        <v>45752</v>
      </c>
      <c r="C486" t="s">
        <v>23</v>
      </c>
      <c r="D486" t="s">
        <v>19</v>
      </c>
      <c r="E486" t="s">
        <v>20</v>
      </c>
      <c r="F486">
        <v>23</v>
      </c>
      <c r="G486" s="6">
        <v>1483.05</v>
      </c>
      <c r="H486" s="5">
        <v>34110.15</v>
      </c>
      <c r="I486">
        <v>4.5999999999999996</v>
      </c>
    </row>
    <row r="487" spans="1:9" x14ac:dyDescent="0.35">
      <c r="A487" t="s">
        <v>781</v>
      </c>
      <c r="B487" s="1">
        <v>45871</v>
      </c>
      <c r="C487" t="s">
        <v>23</v>
      </c>
      <c r="D487" t="s">
        <v>12</v>
      </c>
      <c r="E487" t="s">
        <v>17</v>
      </c>
      <c r="F487">
        <v>9</v>
      </c>
      <c r="G487" s="6">
        <v>950.6</v>
      </c>
      <c r="H487" s="5">
        <v>8555.4</v>
      </c>
      <c r="I487">
        <v>4.7</v>
      </c>
    </row>
    <row r="488" spans="1:9" x14ac:dyDescent="0.35">
      <c r="A488" t="s">
        <v>782</v>
      </c>
      <c r="B488" s="1">
        <v>45988</v>
      </c>
      <c r="C488" t="s">
        <v>38</v>
      </c>
      <c r="D488" t="s">
        <v>24</v>
      </c>
      <c r="E488" t="s">
        <v>69</v>
      </c>
      <c r="F488">
        <v>11</v>
      </c>
      <c r="G488" s="6">
        <v>201.81</v>
      </c>
      <c r="H488" s="5">
        <v>2219.91</v>
      </c>
      <c r="I488">
        <v>3.9</v>
      </c>
    </row>
    <row r="489" spans="1:9" x14ac:dyDescent="0.35">
      <c r="A489" t="s">
        <v>783</v>
      </c>
      <c r="B489" s="1">
        <v>46001</v>
      </c>
      <c r="C489" t="s">
        <v>23</v>
      </c>
      <c r="D489" t="s">
        <v>24</v>
      </c>
      <c r="E489" t="s">
        <v>69</v>
      </c>
      <c r="F489">
        <v>5</v>
      </c>
      <c r="G489" s="6">
        <v>804.68</v>
      </c>
      <c r="H489" s="5">
        <v>4023.4</v>
      </c>
      <c r="I489">
        <v>4.4000000000000004</v>
      </c>
    </row>
    <row r="490" spans="1:9" x14ac:dyDescent="0.35">
      <c r="A490" t="s">
        <v>784</v>
      </c>
      <c r="B490" s="1">
        <v>45973</v>
      </c>
      <c r="C490" t="s">
        <v>23</v>
      </c>
      <c r="D490" t="s">
        <v>12</v>
      </c>
      <c r="E490" t="s">
        <v>90</v>
      </c>
      <c r="F490">
        <v>20</v>
      </c>
      <c r="G490" s="6">
        <v>418.24</v>
      </c>
      <c r="H490" s="5">
        <v>8364.7999999999993</v>
      </c>
      <c r="I490">
        <v>4.8</v>
      </c>
    </row>
    <row r="491" spans="1:9" x14ac:dyDescent="0.35">
      <c r="A491" t="s">
        <v>785</v>
      </c>
      <c r="B491" s="1">
        <v>45896</v>
      </c>
      <c r="C491" t="s">
        <v>38</v>
      </c>
      <c r="D491" t="s">
        <v>12</v>
      </c>
      <c r="E491" t="s">
        <v>90</v>
      </c>
      <c r="F491">
        <v>4</v>
      </c>
      <c r="G491" s="6">
        <v>784.67</v>
      </c>
      <c r="H491" s="5">
        <v>3138.68</v>
      </c>
      <c r="I491">
        <v>4.4000000000000004</v>
      </c>
    </row>
    <row r="492" spans="1:9" x14ac:dyDescent="0.35">
      <c r="A492" t="s">
        <v>786</v>
      </c>
      <c r="B492" s="1">
        <v>45773</v>
      </c>
      <c r="C492" t="s">
        <v>38</v>
      </c>
      <c r="D492" t="s">
        <v>24</v>
      </c>
      <c r="E492" t="s">
        <v>69</v>
      </c>
      <c r="F492">
        <v>13</v>
      </c>
      <c r="G492" s="6">
        <v>89.16</v>
      </c>
      <c r="H492" s="5">
        <v>1159.08</v>
      </c>
      <c r="I492">
        <v>4.9000000000000004</v>
      </c>
    </row>
    <row r="493" spans="1:9" x14ac:dyDescent="0.35">
      <c r="A493" t="s">
        <v>787</v>
      </c>
      <c r="B493" s="1">
        <v>45930</v>
      </c>
      <c r="C493" t="s">
        <v>23</v>
      </c>
      <c r="D493" t="s">
        <v>19</v>
      </c>
      <c r="E493" t="s">
        <v>28</v>
      </c>
      <c r="F493">
        <v>3</v>
      </c>
      <c r="G493" s="6">
        <v>966.74</v>
      </c>
      <c r="H493" s="5">
        <v>2900.22</v>
      </c>
      <c r="I493">
        <v>4.5</v>
      </c>
    </row>
    <row r="494" spans="1:9" x14ac:dyDescent="0.35">
      <c r="A494" t="s">
        <v>789</v>
      </c>
      <c r="B494" s="1">
        <v>45709</v>
      </c>
      <c r="C494" t="s">
        <v>16</v>
      </c>
      <c r="D494" t="s">
        <v>24</v>
      </c>
      <c r="E494" t="s">
        <v>44</v>
      </c>
      <c r="F494">
        <v>15</v>
      </c>
      <c r="G494" s="6">
        <v>387.29</v>
      </c>
      <c r="H494" s="5">
        <v>5809.35</v>
      </c>
      <c r="I494">
        <v>3</v>
      </c>
    </row>
    <row r="495" spans="1:9" x14ac:dyDescent="0.35">
      <c r="A495" t="s">
        <v>790</v>
      </c>
      <c r="B495" s="1">
        <v>45804</v>
      </c>
      <c r="C495" t="s">
        <v>23</v>
      </c>
      <c r="D495" t="s">
        <v>19</v>
      </c>
      <c r="E495" t="s">
        <v>20</v>
      </c>
      <c r="F495">
        <v>2</v>
      </c>
      <c r="G495" s="6">
        <v>351.34</v>
      </c>
      <c r="H495" s="5">
        <v>702.68</v>
      </c>
      <c r="I495">
        <v>3.3</v>
      </c>
    </row>
    <row r="496" spans="1:9" x14ac:dyDescent="0.35">
      <c r="A496" t="s">
        <v>791</v>
      </c>
      <c r="B496" s="1">
        <v>45703</v>
      </c>
      <c r="C496" t="s">
        <v>38</v>
      </c>
      <c r="D496" t="s">
        <v>12</v>
      </c>
      <c r="E496" t="s">
        <v>17</v>
      </c>
      <c r="F496">
        <v>8</v>
      </c>
      <c r="G496" s="6">
        <v>1124.8900000000001</v>
      </c>
      <c r="H496" s="5">
        <v>8999.1200000000008</v>
      </c>
      <c r="I496">
        <v>4.7</v>
      </c>
    </row>
    <row r="497" spans="1:9" x14ac:dyDescent="0.35">
      <c r="A497" t="s">
        <v>792</v>
      </c>
      <c r="B497" s="1">
        <v>45728</v>
      </c>
      <c r="C497" t="s">
        <v>38</v>
      </c>
      <c r="D497" t="s">
        <v>24</v>
      </c>
      <c r="E497" t="s">
        <v>69</v>
      </c>
      <c r="F497">
        <v>21</v>
      </c>
      <c r="G497" s="6">
        <v>664.1</v>
      </c>
      <c r="H497" s="5">
        <v>13946.1</v>
      </c>
      <c r="I497">
        <v>3.9</v>
      </c>
    </row>
    <row r="498" spans="1:9" x14ac:dyDescent="0.35">
      <c r="A498" t="s">
        <v>793</v>
      </c>
      <c r="B498" s="1">
        <v>45750</v>
      </c>
      <c r="C498" t="s">
        <v>16</v>
      </c>
      <c r="D498" t="s">
        <v>24</v>
      </c>
      <c r="E498" t="s">
        <v>44</v>
      </c>
      <c r="F498">
        <v>19</v>
      </c>
      <c r="G498" s="6">
        <v>743.08</v>
      </c>
      <c r="H498" s="5">
        <v>14118.52</v>
      </c>
      <c r="I498">
        <v>3.7</v>
      </c>
    </row>
    <row r="499" spans="1:9" x14ac:dyDescent="0.35">
      <c r="A499" t="s">
        <v>795</v>
      </c>
      <c r="B499" s="1">
        <v>45879</v>
      </c>
      <c r="C499" t="s">
        <v>16</v>
      </c>
      <c r="D499" t="s">
        <v>12</v>
      </c>
      <c r="E499" t="s">
        <v>90</v>
      </c>
      <c r="F499">
        <v>4</v>
      </c>
      <c r="G499" s="6">
        <v>71.819999999999993</v>
      </c>
      <c r="H499" s="5">
        <v>287.27999999999997</v>
      </c>
      <c r="I499">
        <v>4.2</v>
      </c>
    </row>
    <row r="500" spans="1:9" x14ac:dyDescent="0.35">
      <c r="A500" t="s">
        <v>797</v>
      </c>
      <c r="B500" s="1">
        <v>45740</v>
      </c>
      <c r="C500" t="s">
        <v>23</v>
      </c>
      <c r="D500" t="s">
        <v>19</v>
      </c>
      <c r="E500" t="s">
        <v>20</v>
      </c>
      <c r="F500">
        <v>19</v>
      </c>
      <c r="G500" s="6">
        <v>1119.42</v>
      </c>
      <c r="H500" s="5">
        <v>21268.98</v>
      </c>
      <c r="I500">
        <v>3.2</v>
      </c>
    </row>
    <row r="501" spans="1:9" x14ac:dyDescent="0.35">
      <c r="A501" t="s">
        <v>798</v>
      </c>
      <c r="B501" s="1">
        <v>45782</v>
      </c>
      <c r="C501" t="s">
        <v>23</v>
      </c>
      <c r="D501" t="s">
        <v>24</v>
      </c>
      <c r="E501" t="s">
        <v>69</v>
      </c>
      <c r="F501">
        <v>10</v>
      </c>
      <c r="G501" s="6">
        <v>1177.8399999999999</v>
      </c>
      <c r="H501" s="5">
        <v>11778.4</v>
      </c>
      <c r="I501">
        <v>3.5</v>
      </c>
    </row>
    <row r="502" spans="1:9" x14ac:dyDescent="0.35">
      <c r="A502" t="s">
        <v>800</v>
      </c>
      <c r="B502" s="1">
        <v>45903</v>
      </c>
      <c r="C502" t="s">
        <v>11</v>
      </c>
      <c r="D502" t="s">
        <v>19</v>
      </c>
      <c r="E502" t="s">
        <v>20</v>
      </c>
      <c r="F502">
        <v>15</v>
      </c>
      <c r="G502" s="6">
        <v>763.22</v>
      </c>
      <c r="H502" s="5">
        <v>11448.3</v>
      </c>
      <c r="I502">
        <v>5</v>
      </c>
    </row>
    <row r="503" spans="1:9" x14ac:dyDescent="0.35">
      <c r="A503" t="s">
        <v>801</v>
      </c>
      <c r="B503" s="1">
        <v>45671</v>
      </c>
      <c r="C503" t="s">
        <v>23</v>
      </c>
      <c r="D503" t="s">
        <v>12</v>
      </c>
      <c r="E503" t="s">
        <v>90</v>
      </c>
      <c r="F503">
        <v>11</v>
      </c>
      <c r="G503" s="6">
        <v>673.19</v>
      </c>
      <c r="H503" s="5">
        <v>7405.09</v>
      </c>
      <c r="I503">
        <v>3.1</v>
      </c>
    </row>
    <row r="504" spans="1:9" x14ac:dyDescent="0.35">
      <c r="A504" t="s">
        <v>802</v>
      </c>
      <c r="B504" s="1">
        <v>45875</v>
      </c>
      <c r="C504" t="s">
        <v>38</v>
      </c>
      <c r="D504" t="s">
        <v>19</v>
      </c>
      <c r="E504" t="s">
        <v>20</v>
      </c>
      <c r="F504">
        <v>1</v>
      </c>
      <c r="G504" s="6">
        <v>1265.9000000000001</v>
      </c>
      <c r="H504" s="5">
        <v>1265.9000000000001</v>
      </c>
      <c r="I504">
        <v>4.4000000000000004</v>
      </c>
    </row>
    <row r="505" spans="1:9" x14ac:dyDescent="0.35">
      <c r="A505" t="s">
        <v>803</v>
      </c>
      <c r="B505" s="1">
        <v>46007</v>
      </c>
      <c r="C505" t="s">
        <v>11</v>
      </c>
      <c r="D505" t="s">
        <v>12</v>
      </c>
      <c r="E505" t="s">
        <v>17</v>
      </c>
      <c r="F505">
        <v>18</v>
      </c>
      <c r="G505" s="6">
        <v>183.71</v>
      </c>
      <c r="H505" s="5">
        <v>3306.78</v>
      </c>
      <c r="I505">
        <v>4.9000000000000004</v>
      </c>
    </row>
    <row r="506" spans="1:9" x14ac:dyDescent="0.35">
      <c r="A506" t="s">
        <v>804</v>
      </c>
      <c r="B506" s="1">
        <v>45838</v>
      </c>
      <c r="C506" t="s">
        <v>11</v>
      </c>
      <c r="D506" t="s">
        <v>19</v>
      </c>
      <c r="E506" t="s">
        <v>28</v>
      </c>
      <c r="F506">
        <v>9</v>
      </c>
      <c r="G506" s="6">
        <v>1040.44</v>
      </c>
      <c r="H506" s="5">
        <v>9363.9599999999991</v>
      </c>
      <c r="I506">
        <v>3.7</v>
      </c>
    </row>
    <row r="507" spans="1:9" x14ac:dyDescent="0.35">
      <c r="A507" t="s">
        <v>805</v>
      </c>
      <c r="B507" s="1">
        <v>45705</v>
      </c>
      <c r="C507" t="s">
        <v>16</v>
      </c>
      <c r="D507" t="s">
        <v>19</v>
      </c>
      <c r="E507" t="s">
        <v>31</v>
      </c>
      <c r="F507">
        <v>11</v>
      </c>
      <c r="G507" s="6">
        <v>201.73</v>
      </c>
      <c r="H507" s="5">
        <v>2219.0300000000002</v>
      </c>
      <c r="I507">
        <v>3.3</v>
      </c>
    </row>
    <row r="508" spans="1:9" x14ac:dyDescent="0.35">
      <c r="A508" t="s">
        <v>807</v>
      </c>
      <c r="B508" s="1">
        <v>45724</v>
      </c>
      <c r="C508" t="s">
        <v>38</v>
      </c>
      <c r="D508" t="s">
        <v>19</v>
      </c>
      <c r="E508" t="s">
        <v>20</v>
      </c>
      <c r="F508">
        <v>21</v>
      </c>
      <c r="G508" s="6">
        <v>219.11</v>
      </c>
      <c r="H508" s="5">
        <v>4601.3100000000004</v>
      </c>
      <c r="I508">
        <v>3.4</v>
      </c>
    </row>
    <row r="509" spans="1:9" x14ac:dyDescent="0.35">
      <c r="A509" t="s">
        <v>808</v>
      </c>
      <c r="B509" s="1">
        <v>45803</v>
      </c>
      <c r="C509" t="s">
        <v>16</v>
      </c>
      <c r="D509" t="s">
        <v>24</v>
      </c>
      <c r="E509" t="s">
        <v>44</v>
      </c>
      <c r="F509">
        <v>19</v>
      </c>
      <c r="G509" s="6">
        <v>663.21</v>
      </c>
      <c r="H509" s="5">
        <v>12600.99</v>
      </c>
      <c r="I509">
        <v>5</v>
      </c>
    </row>
    <row r="510" spans="1:9" x14ac:dyDescent="0.35">
      <c r="A510" t="s">
        <v>810</v>
      </c>
      <c r="B510" s="1">
        <v>45957</v>
      </c>
      <c r="C510" t="s">
        <v>11</v>
      </c>
      <c r="D510" t="s">
        <v>12</v>
      </c>
      <c r="E510" t="s">
        <v>13</v>
      </c>
      <c r="F510">
        <v>16</v>
      </c>
      <c r="G510" s="6">
        <v>1058.53</v>
      </c>
      <c r="H510" s="5">
        <v>16936.48</v>
      </c>
      <c r="I510">
        <v>3.1</v>
      </c>
    </row>
    <row r="511" spans="1:9" x14ac:dyDescent="0.35">
      <c r="A511" t="s">
        <v>811</v>
      </c>
      <c r="B511" s="1">
        <v>45869</v>
      </c>
      <c r="C511" t="s">
        <v>16</v>
      </c>
      <c r="D511" t="s">
        <v>12</v>
      </c>
      <c r="E511" t="s">
        <v>17</v>
      </c>
      <c r="F511">
        <v>23</v>
      </c>
      <c r="G511" s="6">
        <v>634.95000000000005</v>
      </c>
      <c r="H511" s="5">
        <v>14603.85</v>
      </c>
      <c r="I511">
        <v>4</v>
      </c>
    </row>
    <row r="512" spans="1:9" x14ac:dyDescent="0.35">
      <c r="A512" t="s">
        <v>813</v>
      </c>
      <c r="B512" s="1">
        <v>45732</v>
      </c>
      <c r="C512" t="s">
        <v>11</v>
      </c>
      <c r="D512" t="s">
        <v>24</v>
      </c>
      <c r="E512" t="s">
        <v>44</v>
      </c>
      <c r="F512">
        <v>21</v>
      </c>
      <c r="G512" s="6">
        <v>720.52</v>
      </c>
      <c r="H512" s="5">
        <v>15130.92</v>
      </c>
      <c r="I512">
        <v>4</v>
      </c>
    </row>
    <row r="513" spans="1:9" x14ac:dyDescent="0.35">
      <c r="A513" t="s">
        <v>815</v>
      </c>
      <c r="B513" s="1">
        <v>46009</v>
      </c>
      <c r="C513" t="s">
        <v>11</v>
      </c>
      <c r="D513" t="s">
        <v>12</v>
      </c>
      <c r="E513" t="s">
        <v>90</v>
      </c>
      <c r="F513">
        <v>13</v>
      </c>
      <c r="G513" s="6">
        <v>1199.49</v>
      </c>
      <c r="H513" s="5">
        <v>15593.37</v>
      </c>
      <c r="I513">
        <v>3.6</v>
      </c>
    </row>
    <row r="514" spans="1:9" x14ac:dyDescent="0.35">
      <c r="A514" t="s">
        <v>816</v>
      </c>
      <c r="B514" s="1">
        <v>45737</v>
      </c>
      <c r="C514" t="s">
        <v>38</v>
      </c>
      <c r="D514" t="s">
        <v>19</v>
      </c>
      <c r="E514" t="s">
        <v>28</v>
      </c>
      <c r="F514">
        <v>7</v>
      </c>
      <c r="G514" s="6">
        <v>1487.28</v>
      </c>
      <c r="H514" s="5">
        <v>10410.959999999999</v>
      </c>
      <c r="I514">
        <v>3.6</v>
      </c>
    </row>
    <row r="515" spans="1:9" x14ac:dyDescent="0.35">
      <c r="A515" t="s">
        <v>817</v>
      </c>
      <c r="B515" s="1">
        <v>45772</v>
      </c>
      <c r="C515" t="s">
        <v>11</v>
      </c>
      <c r="D515" t="s">
        <v>12</v>
      </c>
      <c r="E515" t="s">
        <v>90</v>
      </c>
      <c r="F515">
        <v>18</v>
      </c>
      <c r="G515" s="6">
        <v>1436.98</v>
      </c>
      <c r="H515" s="5">
        <v>25865.64</v>
      </c>
      <c r="I515">
        <v>3.1</v>
      </c>
    </row>
    <row r="516" spans="1:9" x14ac:dyDescent="0.35">
      <c r="A516" t="s">
        <v>818</v>
      </c>
      <c r="B516" s="1">
        <v>45749</v>
      </c>
      <c r="C516" t="s">
        <v>11</v>
      </c>
      <c r="D516" t="s">
        <v>12</v>
      </c>
      <c r="E516" t="s">
        <v>17</v>
      </c>
      <c r="F516">
        <v>21</v>
      </c>
      <c r="G516" s="6">
        <v>102.39</v>
      </c>
      <c r="H516" s="5">
        <v>2150.19</v>
      </c>
      <c r="I516">
        <v>3.2</v>
      </c>
    </row>
    <row r="517" spans="1:9" x14ac:dyDescent="0.35">
      <c r="A517" t="s">
        <v>820</v>
      </c>
      <c r="B517" s="1">
        <v>45763</v>
      </c>
      <c r="C517" t="s">
        <v>38</v>
      </c>
      <c r="D517" t="s">
        <v>24</v>
      </c>
      <c r="E517" t="s">
        <v>25</v>
      </c>
      <c r="F517">
        <v>16</v>
      </c>
      <c r="G517" s="6">
        <v>1489.88</v>
      </c>
      <c r="H517" s="5">
        <v>23838.080000000002</v>
      </c>
      <c r="I517">
        <v>3.5</v>
      </c>
    </row>
    <row r="518" spans="1:9" x14ac:dyDescent="0.35">
      <c r="A518" t="s">
        <v>821</v>
      </c>
      <c r="B518" s="1">
        <v>45804</v>
      </c>
      <c r="C518" t="s">
        <v>23</v>
      </c>
      <c r="D518" t="s">
        <v>24</v>
      </c>
      <c r="E518" t="s">
        <v>25</v>
      </c>
      <c r="F518">
        <v>1</v>
      </c>
      <c r="G518" s="6">
        <v>951.53</v>
      </c>
      <c r="H518" s="5">
        <v>951.53</v>
      </c>
      <c r="I518">
        <v>4.0999999999999996</v>
      </c>
    </row>
    <row r="519" spans="1:9" x14ac:dyDescent="0.35">
      <c r="A519" t="s">
        <v>822</v>
      </c>
      <c r="B519" s="1">
        <v>45808</v>
      </c>
      <c r="C519" t="s">
        <v>11</v>
      </c>
      <c r="D519" t="s">
        <v>12</v>
      </c>
      <c r="E519" t="s">
        <v>90</v>
      </c>
      <c r="F519">
        <v>21</v>
      </c>
      <c r="G519" s="6">
        <v>398.76</v>
      </c>
      <c r="H519" s="5">
        <v>8373.9599999999991</v>
      </c>
      <c r="I519">
        <v>4.0999999999999996</v>
      </c>
    </row>
    <row r="520" spans="1:9" x14ac:dyDescent="0.35">
      <c r="A520" t="s">
        <v>823</v>
      </c>
      <c r="B520" s="1">
        <v>45839</v>
      </c>
      <c r="C520" t="s">
        <v>16</v>
      </c>
      <c r="D520" t="s">
        <v>24</v>
      </c>
      <c r="E520" t="s">
        <v>69</v>
      </c>
      <c r="F520">
        <v>20</v>
      </c>
      <c r="G520" s="6">
        <v>1193.9100000000001</v>
      </c>
      <c r="H520" s="5">
        <v>23878.2</v>
      </c>
      <c r="I520">
        <v>5</v>
      </c>
    </row>
    <row r="521" spans="1:9" x14ac:dyDescent="0.35">
      <c r="A521" t="s">
        <v>824</v>
      </c>
      <c r="B521" s="1">
        <v>45948</v>
      </c>
      <c r="C521" t="s">
        <v>11</v>
      </c>
      <c r="D521" t="s">
        <v>12</v>
      </c>
      <c r="E521" t="s">
        <v>90</v>
      </c>
      <c r="F521">
        <v>1</v>
      </c>
      <c r="G521" s="6">
        <v>995.42</v>
      </c>
      <c r="H521" s="5">
        <v>995.42</v>
      </c>
      <c r="I521">
        <v>3.5</v>
      </c>
    </row>
    <row r="522" spans="1:9" x14ac:dyDescent="0.35">
      <c r="A522" t="s">
        <v>826</v>
      </c>
      <c r="B522" s="1">
        <v>45895</v>
      </c>
      <c r="C522" t="s">
        <v>38</v>
      </c>
      <c r="D522" t="s">
        <v>19</v>
      </c>
      <c r="E522" t="s">
        <v>31</v>
      </c>
      <c r="F522">
        <v>3</v>
      </c>
      <c r="G522" s="6">
        <v>1166.3699999999999</v>
      </c>
      <c r="H522" s="5">
        <v>3499.11</v>
      </c>
      <c r="I522">
        <v>4.5999999999999996</v>
      </c>
    </row>
    <row r="523" spans="1:9" x14ac:dyDescent="0.35">
      <c r="A523" t="s">
        <v>827</v>
      </c>
      <c r="B523" s="1">
        <v>45720</v>
      </c>
      <c r="C523" t="s">
        <v>11</v>
      </c>
      <c r="D523" t="s">
        <v>19</v>
      </c>
      <c r="E523" t="s">
        <v>20</v>
      </c>
      <c r="F523">
        <v>18</v>
      </c>
      <c r="G523" s="6">
        <v>1287.52</v>
      </c>
      <c r="H523" s="5">
        <v>23175.360000000001</v>
      </c>
      <c r="I523">
        <v>4.9000000000000004</v>
      </c>
    </row>
    <row r="524" spans="1:9" x14ac:dyDescent="0.35">
      <c r="A524" t="s">
        <v>828</v>
      </c>
      <c r="B524" s="1">
        <v>45736</v>
      </c>
      <c r="C524" t="s">
        <v>16</v>
      </c>
      <c r="D524" t="s">
        <v>19</v>
      </c>
      <c r="E524" t="s">
        <v>31</v>
      </c>
      <c r="F524">
        <v>25</v>
      </c>
      <c r="G524" s="6">
        <v>1046.77</v>
      </c>
      <c r="H524" s="5">
        <v>26169.25</v>
      </c>
      <c r="I524">
        <v>3.6</v>
      </c>
    </row>
    <row r="525" spans="1:9" x14ac:dyDescent="0.35">
      <c r="A525" t="s">
        <v>830</v>
      </c>
      <c r="B525" s="1">
        <v>45770</v>
      </c>
      <c r="C525" t="s">
        <v>16</v>
      </c>
      <c r="D525" t="s">
        <v>19</v>
      </c>
      <c r="E525" t="s">
        <v>28</v>
      </c>
      <c r="F525">
        <v>25</v>
      </c>
      <c r="G525" s="6">
        <v>722.07</v>
      </c>
      <c r="H525" s="5">
        <v>18051.75</v>
      </c>
      <c r="I525">
        <v>4.5999999999999996</v>
      </c>
    </row>
    <row r="526" spans="1:9" x14ac:dyDescent="0.35">
      <c r="A526" t="s">
        <v>831</v>
      </c>
      <c r="B526" s="1">
        <v>45867</v>
      </c>
      <c r="C526" t="s">
        <v>23</v>
      </c>
      <c r="D526" t="s">
        <v>24</v>
      </c>
      <c r="E526" t="s">
        <v>69</v>
      </c>
      <c r="F526">
        <v>1</v>
      </c>
      <c r="G526" s="6">
        <v>1378.44</v>
      </c>
      <c r="H526" s="5">
        <v>1378.44</v>
      </c>
      <c r="I526">
        <v>3.6</v>
      </c>
    </row>
    <row r="527" spans="1:9" x14ac:dyDescent="0.35">
      <c r="A527" t="s">
        <v>832</v>
      </c>
      <c r="B527" s="1">
        <v>45815</v>
      </c>
      <c r="C527" t="s">
        <v>23</v>
      </c>
      <c r="D527" t="s">
        <v>24</v>
      </c>
      <c r="E527" t="s">
        <v>69</v>
      </c>
      <c r="F527">
        <v>19</v>
      </c>
      <c r="G527" s="6">
        <v>570.29</v>
      </c>
      <c r="H527" s="5">
        <v>10835.51</v>
      </c>
      <c r="I527">
        <v>4.5</v>
      </c>
    </row>
    <row r="528" spans="1:9" x14ac:dyDescent="0.35">
      <c r="A528" t="s">
        <v>834</v>
      </c>
      <c r="B528" s="1">
        <v>45727</v>
      </c>
      <c r="C528" t="s">
        <v>16</v>
      </c>
      <c r="D528" t="s">
        <v>12</v>
      </c>
      <c r="E528" t="s">
        <v>17</v>
      </c>
      <c r="F528">
        <v>23</v>
      </c>
      <c r="G528" s="6">
        <v>948.41</v>
      </c>
      <c r="H528" s="5">
        <v>21813.43</v>
      </c>
      <c r="I528">
        <v>4.0999999999999996</v>
      </c>
    </row>
    <row r="529" spans="1:9" x14ac:dyDescent="0.35">
      <c r="A529" t="s">
        <v>835</v>
      </c>
      <c r="B529" s="1">
        <v>45696</v>
      </c>
      <c r="C529" t="s">
        <v>38</v>
      </c>
      <c r="D529" t="s">
        <v>12</v>
      </c>
      <c r="E529" t="s">
        <v>17</v>
      </c>
      <c r="F529">
        <v>1</v>
      </c>
      <c r="G529" s="6">
        <v>349.91</v>
      </c>
      <c r="H529" s="5">
        <v>349.91</v>
      </c>
      <c r="I529">
        <v>4.0999999999999996</v>
      </c>
    </row>
    <row r="530" spans="1:9" x14ac:dyDescent="0.35">
      <c r="A530" t="s">
        <v>836</v>
      </c>
      <c r="B530" s="1">
        <v>45938</v>
      </c>
      <c r="C530" t="s">
        <v>23</v>
      </c>
      <c r="D530" t="s">
        <v>24</v>
      </c>
      <c r="E530" t="s">
        <v>69</v>
      </c>
      <c r="F530">
        <v>5</v>
      </c>
      <c r="G530" s="6">
        <v>757</v>
      </c>
      <c r="H530" s="5">
        <v>3785</v>
      </c>
      <c r="I530">
        <v>3.4</v>
      </c>
    </row>
    <row r="531" spans="1:9" x14ac:dyDescent="0.35">
      <c r="A531" t="s">
        <v>837</v>
      </c>
      <c r="B531" s="1">
        <v>45806</v>
      </c>
      <c r="C531" t="s">
        <v>16</v>
      </c>
      <c r="D531" t="s">
        <v>24</v>
      </c>
      <c r="E531" t="s">
        <v>25</v>
      </c>
      <c r="F531">
        <v>25</v>
      </c>
      <c r="G531" s="6">
        <v>73.67</v>
      </c>
      <c r="H531" s="5">
        <v>1841.75</v>
      </c>
      <c r="I531">
        <v>4.8</v>
      </c>
    </row>
    <row r="532" spans="1:9" x14ac:dyDescent="0.35">
      <c r="A532" t="s">
        <v>838</v>
      </c>
      <c r="B532" s="1">
        <v>45870</v>
      </c>
      <c r="C532" t="s">
        <v>11</v>
      </c>
      <c r="D532" t="s">
        <v>12</v>
      </c>
      <c r="E532" t="s">
        <v>13</v>
      </c>
      <c r="F532">
        <v>10</v>
      </c>
      <c r="G532" s="6">
        <v>1306.4100000000001</v>
      </c>
      <c r="H532" s="5">
        <v>13064.1</v>
      </c>
      <c r="I532">
        <v>3.8</v>
      </c>
    </row>
    <row r="533" spans="1:9" x14ac:dyDescent="0.35">
      <c r="A533" t="s">
        <v>839</v>
      </c>
      <c r="B533" s="1">
        <v>45996</v>
      </c>
      <c r="C533" t="s">
        <v>38</v>
      </c>
      <c r="D533" t="s">
        <v>19</v>
      </c>
      <c r="E533" t="s">
        <v>28</v>
      </c>
      <c r="F533">
        <v>14</v>
      </c>
      <c r="G533" s="6">
        <v>399.35</v>
      </c>
      <c r="H533" s="5">
        <v>5590.9</v>
      </c>
      <c r="I533">
        <v>3.5</v>
      </c>
    </row>
    <row r="534" spans="1:9" x14ac:dyDescent="0.35">
      <c r="A534" t="s">
        <v>840</v>
      </c>
      <c r="B534" s="1">
        <v>45695</v>
      </c>
      <c r="C534" t="s">
        <v>23</v>
      </c>
      <c r="D534" t="s">
        <v>12</v>
      </c>
      <c r="E534" t="s">
        <v>90</v>
      </c>
      <c r="F534">
        <v>1</v>
      </c>
      <c r="G534" s="6">
        <v>749.06</v>
      </c>
      <c r="H534" s="5">
        <v>749.06</v>
      </c>
      <c r="I534">
        <v>3.4</v>
      </c>
    </row>
    <row r="535" spans="1:9" x14ac:dyDescent="0.35">
      <c r="A535" t="s">
        <v>841</v>
      </c>
      <c r="B535" s="1">
        <v>45927</v>
      </c>
      <c r="C535" t="s">
        <v>11</v>
      </c>
      <c r="D535" t="s">
        <v>12</v>
      </c>
      <c r="E535" t="s">
        <v>90</v>
      </c>
      <c r="F535">
        <v>14</v>
      </c>
      <c r="G535" s="6">
        <v>1425.08</v>
      </c>
      <c r="H535" s="5">
        <v>19951.12</v>
      </c>
      <c r="I535">
        <v>4.8</v>
      </c>
    </row>
    <row r="536" spans="1:9" x14ac:dyDescent="0.35">
      <c r="A536" t="s">
        <v>842</v>
      </c>
      <c r="B536" s="1">
        <v>45944</v>
      </c>
      <c r="C536" t="s">
        <v>38</v>
      </c>
      <c r="D536" t="s">
        <v>24</v>
      </c>
      <c r="E536" t="s">
        <v>69</v>
      </c>
      <c r="F536">
        <v>20</v>
      </c>
      <c r="G536" s="6">
        <v>1178.82</v>
      </c>
      <c r="H536" s="5">
        <v>23576.400000000001</v>
      </c>
      <c r="I536">
        <v>4.8</v>
      </c>
    </row>
    <row r="537" spans="1:9" x14ac:dyDescent="0.35">
      <c r="A537" t="s">
        <v>843</v>
      </c>
      <c r="B537" s="1">
        <v>45806</v>
      </c>
      <c r="C537" t="s">
        <v>38</v>
      </c>
      <c r="D537" t="s">
        <v>24</v>
      </c>
      <c r="E537" t="s">
        <v>25</v>
      </c>
      <c r="F537">
        <v>8</v>
      </c>
      <c r="G537" s="6">
        <v>183.13</v>
      </c>
      <c r="H537" s="5">
        <v>1465.04</v>
      </c>
      <c r="I537">
        <v>4.9000000000000004</v>
      </c>
    </row>
    <row r="538" spans="1:9" x14ac:dyDescent="0.35">
      <c r="A538" t="s">
        <v>844</v>
      </c>
      <c r="B538" s="1">
        <v>45858</v>
      </c>
      <c r="C538" t="s">
        <v>23</v>
      </c>
      <c r="D538" t="s">
        <v>12</v>
      </c>
      <c r="E538" t="s">
        <v>13</v>
      </c>
      <c r="F538">
        <v>11</v>
      </c>
      <c r="G538" s="6">
        <v>181.39</v>
      </c>
      <c r="H538" s="5">
        <v>1995.29</v>
      </c>
      <c r="I538">
        <v>4.3</v>
      </c>
    </row>
    <row r="539" spans="1:9" x14ac:dyDescent="0.35">
      <c r="A539" t="s">
        <v>846</v>
      </c>
      <c r="B539" s="1">
        <v>45928</v>
      </c>
      <c r="C539" t="s">
        <v>38</v>
      </c>
      <c r="D539" t="s">
        <v>24</v>
      </c>
      <c r="E539" t="s">
        <v>25</v>
      </c>
      <c r="F539">
        <v>1</v>
      </c>
      <c r="G539" s="6">
        <v>71.33</v>
      </c>
      <c r="H539" s="5">
        <v>71.33</v>
      </c>
      <c r="I539">
        <v>3.6</v>
      </c>
    </row>
    <row r="540" spans="1:9" x14ac:dyDescent="0.35">
      <c r="A540" t="s">
        <v>848</v>
      </c>
      <c r="B540" s="1">
        <v>45794</v>
      </c>
      <c r="C540" t="s">
        <v>16</v>
      </c>
      <c r="D540" t="s">
        <v>12</v>
      </c>
      <c r="E540" t="s">
        <v>13</v>
      </c>
      <c r="F540">
        <v>16</v>
      </c>
      <c r="G540" s="6">
        <v>1075.46</v>
      </c>
      <c r="H540" s="5">
        <v>17207.36</v>
      </c>
      <c r="I540">
        <v>4.9000000000000004</v>
      </c>
    </row>
    <row r="541" spans="1:9" x14ac:dyDescent="0.35">
      <c r="A541" t="s">
        <v>849</v>
      </c>
      <c r="B541" s="1">
        <v>45859</v>
      </c>
      <c r="C541" t="s">
        <v>38</v>
      </c>
      <c r="D541" t="s">
        <v>12</v>
      </c>
      <c r="E541" t="s">
        <v>90</v>
      </c>
      <c r="F541">
        <v>13</v>
      </c>
      <c r="G541" s="6">
        <v>1133.26</v>
      </c>
      <c r="H541" s="5">
        <v>14732.38</v>
      </c>
      <c r="I541">
        <v>4.8</v>
      </c>
    </row>
    <row r="542" spans="1:9" x14ac:dyDescent="0.35">
      <c r="A542" t="s">
        <v>850</v>
      </c>
      <c r="B542" s="1">
        <v>45908</v>
      </c>
      <c r="C542" t="s">
        <v>38</v>
      </c>
      <c r="D542" t="s">
        <v>24</v>
      </c>
      <c r="E542" t="s">
        <v>69</v>
      </c>
      <c r="F542">
        <v>11</v>
      </c>
      <c r="G542" s="6">
        <v>1115.06</v>
      </c>
      <c r="H542" s="5">
        <v>12265.66</v>
      </c>
      <c r="I542">
        <v>4.9000000000000004</v>
      </c>
    </row>
    <row r="543" spans="1:9" x14ac:dyDescent="0.35">
      <c r="A543" t="s">
        <v>851</v>
      </c>
      <c r="B543" s="1">
        <v>46020</v>
      </c>
      <c r="C543" t="s">
        <v>23</v>
      </c>
      <c r="D543" t="s">
        <v>19</v>
      </c>
      <c r="E543" t="s">
        <v>28</v>
      </c>
      <c r="F543">
        <v>13</v>
      </c>
      <c r="G543" s="6">
        <v>1452.94</v>
      </c>
      <c r="H543" s="5">
        <v>18888.22</v>
      </c>
      <c r="I543">
        <v>3.3</v>
      </c>
    </row>
    <row r="544" spans="1:9" x14ac:dyDescent="0.35">
      <c r="A544" t="s">
        <v>853</v>
      </c>
      <c r="B544" s="1">
        <v>45890</v>
      </c>
      <c r="C544" t="s">
        <v>16</v>
      </c>
      <c r="D544" t="s">
        <v>24</v>
      </c>
      <c r="E544" t="s">
        <v>25</v>
      </c>
      <c r="F544">
        <v>18</v>
      </c>
      <c r="G544" s="6">
        <v>1067.6600000000001</v>
      </c>
      <c r="H544" s="5">
        <v>19217.88</v>
      </c>
      <c r="I544">
        <v>4</v>
      </c>
    </row>
    <row r="545" spans="1:9" x14ac:dyDescent="0.35">
      <c r="A545" t="s">
        <v>854</v>
      </c>
      <c r="B545" s="1">
        <v>45878</v>
      </c>
      <c r="C545" t="s">
        <v>16</v>
      </c>
      <c r="D545" t="s">
        <v>24</v>
      </c>
      <c r="E545" t="s">
        <v>69</v>
      </c>
      <c r="F545">
        <v>15</v>
      </c>
      <c r="G545" s="6">
        <v>1089.93</v>
      </c>
      <c r="H545" s="5">
        <v>16348.95</v>
      </c>
      <c r="I545">
        <v>4</v>
      </c>
    </row>
    <row r="546" spans="1:9" x14ac:dyDescent="0.35">
      <c r="A546" t="s">
        <v>855</v>
      </c>
      <c r="B546" s="1">
        <v>45842</v>
      </c>
      <c r="C546" t="s">
        <v>11</v>
      </c>
      <c r="D546" t="s">
        <v>19</v>
      </c>
      <c r="E546" t="s">
        <v>20</v>
      </c>
      <c r="F546">
        <v>17</v>
      </c>
      <c r="G546" s="6">
        <v>608.79999999999995</v>
      </c>
      <c r="H546" s="5">
        <v>10349.6</v>
      </c>
      <c r="I546">
        <v>3.6</v>
      </c>
    </row>
    <row r="547" spans="1:9" x14ac:dyDescent="0.35">
      <c r="A547" t="s">
        <v>857</v>
      </c>
      <c r="B547" s="1">
        <v>45678</v>
      </c>
      <c r="C547" t="s">
        <v>11</v>
      </c>
      <c r="D547" t="s">
        <v>12</v>
      </c>
      <c r="E547" t="s">
        <v>90</v>
      </c>
      <c r="F547">
        <v>22</v>
      </c>
      <c r="G547" s="6">
        <v>607.62</v>
      </c>
      <c r="H547" s="5">
        <v>13367.64</v>
      </c>
      <c r="I547">
        <v>4.9000000000000004</v>
      </c>
    </row>
    <row r="548" spans="1:9" x14ac:dyDescent="0.35">
      <c r="A548" t="s">
        <v>858</v>
      </c>
      <c r="B548" s="1">
        <v>45782</v>
      </c>
      <c r="C548" t="s">
        <v>23</v>
      </c>
      <c r="D548" t="s">
        <v>19</v>
      </c>
      <c r="E548" t="s">
        <v>28</v>
      </c>
      <c r="F548">
        <v>21</v>
      </c>
      <c r="G548" s="6">
        <v>577.33000000000004</v>
      </c>
      <c r="H548" s="5">
        <v>12123.93</v>
      </c>
      <c r="I548">
        <v>3.2</v>
      </c>
    </row>
    <row r="549" spans="1:9" x14ac:dyDescent="0.35">
      <c r="A549" t="s">
        <v>859</v>
      </c>
      <c r="B549" s="1">
        <v>45960</v>
      </c>
      <c r="C549" t="s">
        <v>16</v>
      </c>
      <c r="D549" t="s">
        <v>24</v>
      </c>
      <c r="E549" t="s">
        <v>69</v>
      </c>
      <c r="F549">
        <v>1</v>
      </c>
      <c r="G549" s="6">
        <v>1075.33</v>
      </c>
      <c r="H549" s="5">
        <v>1075.33</v>
      </c>
      <c r="I549">
        <v>4.2</v>
      </c>
    </row>
    <row r="550" spans="1:9" x14ac:dyDescent="0.35">
      <c r="A550" t="s">
        <v>860</v>
      </c>
      <c r="B550" s="1">
        <v>45795</v>
      </c>
      <c r="C550" t="s">
        <v>23</v>
      </c>
      <c r="D550" t="s">
        <v>19</v>
      </c>
      <c r="E550" t="s">
        <v>31</v>
      </c>
      <c r="F550">
        <v>19</v>
      </c>
      <c r="G550" s="6">
        <v>715.45</v>
      </c>
      <c r="H550" s="5">
        <v>13593.55</v>
      </c>
      <c r="I550">
        <v>3.6</v>
      </c>
    </row>
    <row r="551" spans="1:9" x14ac:dyDescent="0.35">
      <c r="A551" t="s">
        <v>861</v>
      </c>
      <c r="B551" s="1">
        <v>45691</v>
      </c>
      <c r="C551" t="s">
        <v>23</v>
      </c>
      <c r="D551" t="s">
        <v>12</v>
      </c>
      <c r="E551" t="s">
        <v>17</v>
      </c>
      <c r="F551">
        <v>15</v>
      </c>
      <c r="G551" s="6">
        <v>276.27999999999997</v>
      </c>
      <c r="H551" s="5">
        <v>4144.2</v>
      </c>
      <c r="I551">
        <v>3.7</v>
      </c>
    </row>
    <row r="552" spans="1:9" x14ac:dyDescent="0.35">
      <c r="A552" t="s">
        <v>862</v>
      </c>
      <c r="B552" s="1">
        <v>45854</v>
      </c>
      <c r="C552" t="s">
        <v>23</v>
      </c>
      <c r="D552" t="s">
        <v>19</v>
      </c>
      <c r="E552" t="s">
        <v>28</v>
      </c>
      <c r="F552">
        <v>7</v>
      </c>
      <c r="G552" s="6">
        <v>1462.46</v>
      </c>
      <c r="H552" s="5">
        <v>10237.219999999999</v>
      </c>
      <c r="I552">
        <v>3.8</v>
      </c>
    </row>
    <row r="553" spans="1:9" x14ac:dyDescent="0.35">
      <c r="A553" t="s">
        <v>863</v>
      </c>
      <c r="B553" s="1">
        <v>45988</v>
      </c>
      <c r="C553" t="s">
        <v>38</v>
      </c>
      <c r="D553" t="s">
        <v>19</v>
      </c>
      <c r="E553" t="s">
        <v>28</v>
      </c>
      <c r="F553">
        <v>7</v>
      </c>
      <c r="G553" s="6">
        <v>1411.49</v>
      </c>
      <c r="H553" s="5">
        <v>9880.43</v>
      </c>
      <c r="I553">
        <v>4</v>
      </c>
    </row>
    <row r="554" spans="1:9" x14ac:dyDescent="0.35">
      <c r="A554" t="s">
        <v>864</v>
      </c>
      <c r="B554" s="1">
        <v>45779</v>
      </c>
      <c r="C554" t="s">
        <v>38</v>
      </c>
      <c r="D554" t="s">
        <v>24</v>
      </c>
      <c r="E554" t="s">
        <v>44</v>
      </c>
      <c r="F554">
        <v>7</v>
      </c>
      <c r="G554" s="6">
        <v>556.88</v>
      </c>
      <c r="H554" s="5">
        <v>3898.16</v>
      </c>
      <c r="I554">
        <v>3.3</v>
      </c>
    </row>
    <row r="555" spans="1:9" x14ac:dyDescent="0.35">
      <c r="A555" t="s">
        <v>865</v>
      </c>
      <c r="B555" s="1">
        <v>45937</v>
      </c>
      <c r="C555" t="s">
        <v>38</v>
      </c>
      <c r="D555" t="s">
        <v>12</v>
      </c>
      <c r="E555" t="s">
        <v>13</v>
      </c>
      <c r="F555">
        <v>9</v>
      </c>
      <c r="G555" s="6">
        <v>729.44</v>
      </c>
      <c r="H555" s="5">
        <v>6564.96</v>
      </c>
      <c r="I555">
        <v>4.0999999999999996</v>
      </c>
    </row>
    <row r="556" spans="1:9" x14ac:dyDescent="0.35">
      <c r="A556" t="s">
        <v>866</v>
      </c>
      <c r="B556" s="1">
        <v>45704</v>
      </c>
      <c r="C556" t="s">
        <v>11</v>
      </c>
      <c r="D556" t="s">
        <v>24</v>
      </c>
      <c r="E556" t="s">
        <v>25</v>
      </c>
      <c r="F556">
        <v>17</v>
      </c>
      <c r="G556" s="6">
        <v>716.15</v>
      </c>
      <c r="H556" s="5">
        <v>12174.55</v>
      </c>
      <c r="I556">
        <v>3.5</v>
      </c>
    </row>
    <row r="557" spans="1:9" x14ac:dyDescent="0.35">
      <c r="A557" t="s">
        <v>868</v>
      </c>
      <c r="B557" s="1">
        <v>45676</v>
      </c>
      <c r="C557" t="s">
        <v>23</v>
      </c>
      <c r="D557" t="s">
        <v>24</v>
      </c>
      <c r="E557" t="s">
        <v>44</v>
      </c>
      <c r="F557">
        <v>4</v>
      </c>
      <c r="G557" s="6">
        <v>1473.77</v>
      </c>
      <c r="H557" s="5">
        <v>5895.08</v>
      </c>
      <c r="I557">
        <v>3.9</v>
      </c>
    </row>
    <row r="558" spans="1:9" x14ac:dyDescent="0.35">
      <c r="A558" t="s">
        <v>870</v>
      </c>
      <c r="B558" s="1">
        <v>45777</v>
      </c>
      <c r="C558" t="s">
        <v>38</v>
      </c>
      <c r="D558" t="s">
        <v>24</v>
      </c>
      <c r="E558" t="s">
        <v>25</v>
      </c>
      <c r="F558">
        <v>19</v>
      </c>
      <c r="G558" s="6">
        <v>1343.75</v>
      </c>
      <c r="H558" s="5">
        <v>25531.25</v>
      </c>
      <c r="I558">
        <v>4.8</v>
      </c>
    </row>
    <row r="559" spans="1:9" x14ac:dyDescent="0.35">
      <c r="A559" t="s">
        <v>871</v>
      </c>
      <c r="B559" s="1">
        <v>45787</v>
      </c>
      <c r="C559" t="s">
        <v>38</v>
      </c>
      <c r="D559" t="s">
        <v>12</v>
      </c>
      <c r="E559" t="s">
        <v>90</v>
      </c>
      <c r="F559">
        <v>22</v>
      </c>
      <c r="G559" s="6">
        <v>1190.53</v>
      </c>
      <c r="H559" s="5">
        <v>26191.66</v>
      </c>
      <c r="I559">
        <v>4.7</v>
      </c>
    </row>
    <row r="560" spans="1:9" x14ac:dyDescent="0.35">
      <c r="A560" t="s">
        <v>872</v>
      </c>
      <c r="B560" s="1">
        <v>45930</v>
      </c>
      <c r="C560" t="s">
        <v>38</v>
      </c>
      <c r="D560" t="s">
        <v>12</v>
      </c>
      <c r="E560" t="s">
        <v>13</v>
      </c>
      <c r="F560">
        <v>13</v>
      </c>
      <c r="G560" s="6">
        <v>1116.8499999999999</v>
      </c>
      <c r="H560" s="5">
        <v>14519.05</v>
      </c>
      <c r="I560">
        <v>3.4</v>
      </c>
    </row>
    <row r="561" spans="1:9" x14ac:dyDescent="0.35">
      <c r="A561" t="s">
        <v>873</v>
      </c>
      <c r="B561" s="1">
        <v>45720</v>
      </c>
      <c r="C561" t="s">
        <v>11</v>
      </c>
      <c r="D561" t="s">
        <v>19</v>
      </c>
      <c r="E561" t="s">
        <v>31</v>
      </c>
      <c r="F561">
        <v>9</v>
      </c>
      <c r="G561" s="6">
        <v>653.75</v>
      </c>
      <c r="H561" s="5">
        <v>5883.75</v>
      </c>
      <c r="I561">
        <v>4</v>
      </c>
    </row>
    <row r="562" spans="1:9" x14ac:dyDescent="0.35">
      <c r="A562" t="s">
        <v>874</v>
      </c>
      <c r="B562" s="1">
        <v>45950</v>
      </c>
      <c r="C562" t="s">
        <v>38</v>
      </c>
      <c r="D562" t="s">
        <v>12</v>
      </c>
      <c r="E562" t="s">
        <v>13</v>
      </c>
      <c r="F562">
        <v>12</v>
      </c>
      <c r="G562" s="6">
        <v>330.09</v>
      </c>
      <c r="H562" s="5">
        <v>3961.08</v>
      </c>
      <c r="I562">
        <v>4.0999999999999996</v>
      </c>
    </row>
    <row r="563" spans="1:9" x14ac:dyDescent="0.35">
      <c r="A563" t="s">
        <v>875</v>
      </c>
      <c r="B563" s="1">
        <v>45713</v>
      </c>
      <c r="C563" t="s">
        <v>11</v>
      </c>
      <c r="D563" t="s">
        <v>12</v>
      </c>
      <c r="E563" t="s">
        <v>90</v>
      </c>
      <c r="F563">
        <v>17</v>
      </c>
      <c r="G563" s="6">
        <v>55.57</v>
      </c>
      <c r="H563" s="5">
        <v>944.69</v>
      </c>
      <c r="I563">
        <v>3.7</v>
      </c>
    </row>
    <row r="564" spans="1:9" x14ac:dyDescent="0.35">
      <c r="A564" t="s">
        <v>876</v>
      </c>
      <c r="B564" s="1">
        <v>45744</v>
      </c>
      <c r="C564" t="s">
        <v>38</v>
      </c>
      <c r="D564" t="s">
        <v>19</v>
      </c>
      <c r="E564" t="s">
        <v>20</v>
      </c>
      <c r="F564">
        <v>11</v>
      </c>
      <c r="G564" s="6">
        <v>1098.33</v>
      </c>
      <c r="H564" s="5">
        <v>12081.63</v>
      </c>
      <c r="I564">
        <v>4.5999999999999996</v>
      </c>
    </row>
    <row r="565" spans="1:9" x14ac:dyDescent="0.35">
      <c r="A565" t="s">
        <v>878</v>
      </c>
      <c r="B565" s="1">
        <v>45914</v>
      </c>
      <c r="C565" t="s">
        <v>16</v>
      </c>
      <c r="D565" t="s">
        <v>19</v>
      </c>
      <c r="E565" t="s">
        <v>20</v>
      </c>
      <c r="F565">
        <v>24</v>
      </c>
      <c r="G565" s="6">
        <v>246.75</v>
      </c>
      <c r="H565" s="5">
        <v>5922</v>
      </c>
      <c r="I565">
        <v>3.2</v>
      </c>
    </row>
    <row r="566" spans="1:9" x14ac:dyDescent="0.35">
      <c r="A566" t="s">
        <v>879</v>
      </c>
      <c r="B566" s="1">
        <v>45708</v>
      </c>
      <c r="C566" t="s">
        <v>16</v>
      </c>
      <c r="D566" t="s">
        <v>12</v>
      </c>
      <c r="E566" t="s">
        <v>13</v>
      </c>
      <c r="F566">
        <v>22</v>
      </c>
      <c r="G566" s="6">
        <v>1473.1</v>
      </c>
      <c r="H566" s="5">
        <v>32408.2</v>
      </c>
      <c r="I566">
        <v>4.9000000000000004</v>
      </c>
    </row>
    <row r="567" spans="1:9" x14ac:dyDescent="0.35">
      <c r="A567" t="s">
        <v>880</v>
      </c>
      <c r="B567" s="1">
        <v>45836</v>
      </c>
      <c r="C567" t="s">
        <v>23</v>
      </c>
      <c r="D567" t="s">
        <v>12</v>
      </c>
      <c r="E567" t="s">
        <v>17</v>
      </c>
      <c r="F567">
        <v>21</v>
      </c>
      <c r="G567" s="6">
        <v>143.69999999999999</v>
      </c>
      <c r="H567" s="5">
        <v>3017.7</v>
      </c>
      <c r="I567">
        <v>4.5999999999999996</v>
      </c>
    </row>
    <row r="568" spans="1:9" x14ac:dyDescent="0.35">
      <c r="A568" t="s">
        <v>881</v>
      </c>
      <c r="B568" s="1">
        <v>45910</v>
      </c>
      <c r="C568" t="s">
        <v>16</v>
      </c>
      <c r="D568" t="s">
        <v>12</v>
      </c>
      <c r="E568" t="s">
        <v>13</v>
      </c>
      <c r="F568">
        <v>20</v>
      </c>
      <c r="G568" s="6">
        <v>1140.1500000000001</v>
      </c>
      <c r="H568" s="5">
        <v>22803</v>
      </c>
      <c r="I568">
        <v>3</v>
      </c>
    </row>
    <row r="569" spans="1:9" x14ac:dyDescent="0.35">
      <c r="A569" t="s">
        <v>882</v>
      </c>
      <c r="B569" s="1">
        <v>45812</v>
      </c>
      <c r="C569" t="s">
        <v>11</v>
      </c>
      <c r="D569" t="s">
        <v>19</v>
      </c>
      <c r="E569" t="s">
        <v>31</v>
      </c>
      <c r="F569">
        <v>4</v>
      </c>
      <c r="G569" s="6">
        <v>1165.3</v>
      </c>
      <c r="H569" s="5">
        <v>4661.2</v>
      </c>
      <c r="I569">
        <v>3.1</v>
      </c>
    </row>
    <row r="570" spans="1:9" x14ac:dyDescent="0.35">
      <c r="A570" t="s">
        <v>883</v>
      </c>
      <c r="B570" s="1">
        <v>45993</v>
      </c>
      <c r="C570" t="s">
        <v>11</v>
      </c>
      <c r="D570" t="s">
        <v>12</v>
      </c>
      <c r="E570" t="s">
        <v>13</v>
      </c>
      <c r="F570">
        <v>21</v>
      </c>
      <c r="G570" s="6">
        <v>671.95</v>
      </c>
      <c r="H570" s="5">
        <v>14110.95</v>
      </c>
      <c r="I570">
        <v>3.3</v>
      </c>
    </row>
    <row r="571" spans="1:9" x14ac:dyDescent="0.35">
      <c r="A571" t="s">
        <v>884</v>
      </c>
      <c r="B571" s="1">
        <v>45832</v>
      </c>
      <c r="C571" t="s">
        <v>38</v>
      </c>
      <c r="D571" t="s">
        <v>19</v>
      </c>
      <c r="E571" t="s">
        <v>28</v>
      </c>
      <c r="F571">
        <v>12</v>
      </c>
      <c r="G571" s="6">
        <v>989.79</v>
      </c>
      <c r="H571" s="5">
        <v>11877.48</v>
      </c>
      <c r="I571">
        <v>3.9</v>
      </c>
    </row>
    <row r="572" spans="1:9" x14ac:dyDescent="0.35">
      <c r="A572" t="s">
        <v>885</v>
      </c>
      <c r="B572" s="1">
        <v>45781</v>
      </c>
      <c r="C572" t="s">
        <v>23</v>
      </c>
      <c r="D572" t="s">
        <v>24</v>
      </c>
      <c r="E572" t="s">
        <v>44</v>
      </c>
      <c r="F572">
        <v>22</v>
      </c>
      <c r="G572" s="6">
        <v>219.04</v>
      </c>
      <c r="H572" s="5">
        <v>4818.88</v>
      </c>
      <c r="I572">
        <v>3.3</v>
      </c>
    </row>
    <row r="573" spans="1:9" x14ac:dyDescent="0.35">
      <c r="A573" t="s">
        <v>887</v>
      </c>
      <c r="B573" s="1">
        <v>45760</v>
      </c>
      <c r="C573" t="s">
        <v>38</v>
      </c>
      <c r="D573" t="s">
        <v>19</v>
      </c>
      <c r="E573" t="s">
        <v>31</v>
      </c>
      <c r="F573">
        <v>24</v>
      </c>
      <c r="G573" s="6">
        <v>720.53</v>
      </c>
      <c r="H573" s="5">
        <v>17292.72</v>
      </c>
      <c r="I573">
        <v>4.2</v>
      </c>
    </row>
    <row r="574" spans="1:9" x14ac:dyDescent="0.35">
      <c r="A574" t="s">
        <v>889</v>
      </c>
      <c r="B574" s="1">
        <v>45828</v>
      </c>
      <c r="C574" t="s">
        <v>23</v>
      </c>
      <c r="D574" t="s">
        <v>12</v>
      </c>
      <c r="E574" t="s">
        <v>90</v>
      </c>
      <c r="F574">
        <v>15</v>
      </c>
      <c r="G574" s="6">
        <v>275.97000000000003</v>
      </c>
      <c r="H574" s="5">
        <v>4139.55</v>
      </c>
      <c r="I574">
        <v>4.0999999999999996</v>
      </c>
    </row>
    <row r="575" spans="1:9" x14ac:dyDescent="0.35">
      <c r="A575" t="s">
        <v>890</v>
      </c>
      <c r="B575" s="1">
        <v>46005</v>
      </c>
      <c r="C575" t="s">
        <v>11</v>
      </c>
      <c r="D575" t="s">
        <v>19</v>
      </c>
      <c r="E575" t="s">
        <v>31</v>
      </c>
      <c r="F575">
        <v>23</v>
      </c>
      <c r="G575" s="6">
        <v>273.22000000000003</v>
      </c>
      <c r="H575" s="5">
        <v>6284.06</v>
      </c>
      <c r="I575">
        <v>3.7</v>
      </c>
    </row>
    <row r="576" spans="1:9" x14ac:dyDescent="0.35">
      <c r="A576" t="s">
        <v>891</v>
      </c>
      <c r="B576" s="1">
        <v>45861</v>
      </c>
      <c r="C576" t="s">
        <v>38</v>
      </c>
      <c r="D576" t="s">
        <v>12</v>
      </c>
      <c r="E576" t="s">
        <v>13</v>
      </c>
      <c r="F576">
        <v>20</v>
      </c>
      <c r="G576" s="6">
        <v>1045.83</v>
      </c>
      <c r="H576" s="5">
        <v>20916.599999999999</v>
      </c>
      <c r="I576">
        <v>3.9</v>
      </c>
    </row>
    <row r="577" spans="1:9" x14ac:dyDescent="0.35">
      <c r="A577" t="s">
        <v>892</v>
      </c>
      <c r="B577" s="1">
        <v>45727</v>
      </c>
      <c r="C577" t="s">
        <v>38</v>
      </c>
      <c r="D577" t="s">
        <v>24</v>
      </c>
      <c r="E577" t="s">
        <v>69</v>
      </c>
      <c r="F577">
        <v>11</v>
      </c>
      <c r="G577" s="6">
        <v>438.12</v>
      </c>
      <c r="H577" s="5">
        <v>4819.32</v>
      </c>
      <c r="I577">
        <v>4.5</v>
      </c>
    </row>
    <row r="578" spans="1:9" x14ac:dyDescent="0.35">
      <c r="A578" t="s">
        <v>893</v>
      </c>
      <c r="B578" s="1">
        <v>45848</v>
      </c>
      <c r="C578" t="s">
        <v>11</v>
      </c>
      <c r="D578" t="s">
        <v>12</v>
      </c>
      <c r="E578" t="s">
        <v>90</v>
      </c>
      <c r="F578">
        <v>24</v>
      </c>
      <c r="G578" s="6">
        <v>1498.26</v>
      </c>
      <c r="H578" s="5">
        <v>35958.239999999998</v>
      </c>
      <c r="I578">
        <v>5</v>
      </c>
    </row>
    <row r="579" spans="1:9" x14ac:dyDescent="0.35">
      <c r="A579" t="s">
        <v>894</v>
      </c>
      <c r="B579" s="1">
        <v>45852</v>
      </c>
      <c r="C579" t="s">
        <v>23</v>
      </c>
      <c r="D579" t="s">
        <v>19</v>
      </c>
      <c r="E579" t="s">
        <v>31</v>
      </c>
      <c r="F579">
        <v>24</v>
      </c>
      <c r="G579" s="6">
        <v>67.12</v>
      </c>
      <c r="H579" s="5">
        <v>1610.88</v>
      </c>
      <c r="I579">
        <v>4.3</v>
      </c>
    </row>
    <row r="580" spans="1:9" x14ac:dyDescent="0.35">
      <c r="A580" t="s">
        <v>895</v>
      </c>
      <c r="B580" s="1">
        <v>45729</v>
      </c>
      <c r="C580" t="s">
        <v>11</v>
      </c>
      <c r="D580" t="s">
        <v>19</v>
      </c>
      <c r="E580" t="s">
        <v>28</v>
      </c>
      <c r="F580">
        <v>20</v>
      </c>
      <c r="G580" s="6">
        <v>1280.6099999999999</v>
      </c>
      <c r="H580" s="5">
        <v>25612.2</v>
      </c>
      <c r="I580">
        <v>4.7</v>
      </c>
    </row>
    <row r="581" spans="1:9" x14ac:dyDescent="0.35">
      <c r="A581" t="s">
        <v>896</v>
      </c>
      <c r="B581" s="1">
        <v>45984</v>
      </c>
      <c r="C581" t="s">
        <v>16</v>
      </c>
      <c r="D581" t="s">
        <v>24</v>
      </c>
      <c r="E581" t="s">
        <v>25</v>
      </c>
      <c r="F581">
        <v>8</v>
      </c>
      <c r="G581" s="6">
        <v>96.61</v>
      </c>
      <c r="H581" s="5">
        <v>772.88</v>
      </c>
      <c r="I581">
        <v>4</v>
      </c>
    </row>
    <row r="582" spans="1:9" x14ac:dyDescent="0.35">
      <c r="A582" t="s">
        <v>897</v>
      </c>
      <c r="B582" s="1">
        <v>45693</v>
      </c>
      <c r="C582" t="s">
        <v>38</v>
      </c>
      <c r="D582" t="s">
        <v>24</v>
      </c>
      <c r="E582" t="s">
        <v>25</v>
      </c>
      <c r="F582">
        <v>22</v>
      </c>
      <c r="G582" s="6">
        <v>1297.27</v>
      </c>
      <c r="H582" s="5">
        <v>28539.94</v>
      </c>
      <c r="I582">
        <v>3.2</v>
      </c>
    </row>
    <row r="583" spans="1:9" x14ac:dyDescent="0.35">
      <c r="A583" t="s">
        <v>898</v>
      </c>
      <c r="B583" s="1">
        <v>45785</v>
      </c>
      <c r="C583" t="s">
        <v>11</v>
      </c>
      <c r="D583" t="s">
        <v>24</v>
      </c>
      <c r="E583" t="s">
        <v>69</v>
      </c>
      <c r="F583">
        <v>3</v>
      </c>
      <c r="G583" s="6">
        <v>1236.78</v>
      </c>
      <c r="H583" s="5">
        <v>3710.34</v>
      </c>
      <c r="I583">
        <v>4.9000000000000004</v>
      </c>
    </row>
    <row r="584" spans="1:9" x14ac:dyDescent="0.35">
      <c r="A584" t="s">
        <v>899</v>
      </c>
      <c r="B584" s="1">
        <v>45915</v>
      </c>
      <c r="C584" t="s">
        <v>16</v>
      </c>
      <c r="D584" t="s">
        <v>19</v>
      </c>
      <c r="E584" t="s">
        <v>28</v>
      </c>
      <c r="F584">
        <v>25</v>
      </c>
      <c r="G584" s="6">
        <v>956.25</v>
      </c>
      <c r="H584" s="5">
        <v>23906.25</v>
      </c>
      <c r="I584">
        <v>4.0999999999999996</v>
      </c>
    </row>
    <row r="585" spans="1:9" x14ac:dyDescent="0.35">
      <c r="A585" t="s">
        <v>900</v>
      </c>
      <c r="B585" s="1">
        <v>45801</v>
      </c>
      <c r="C585" t="s">
        <v>23</v>
      </c>
      <c r="D585" t="s">
        <v>24</v>
      </c>
      <c r="E585" t="s">
        <v>44</v>
      </c>
      <c r="F585">
        <v>17</v>
      </c>
      <c r="G585" s="6">
        <v>381.58</v>
      </c>
      <c r="H585" s="5">
        <v>6486.86</v>
      </c>
      <c r="I585">
        <v>4.9000000000000004</v>
      </c>
    </row>
    <row r="586" spans="1:9" x14ac:dyDescent="0.35">
      <c r="A586" t="s">
        <v>902</v>
      </c>
      <c r="B586" s="1">
        <v>45679</v>
      </c>
      <c r="C586" t="s">
        <v>11</v>
      </c>
      <c r="D586" t="s">
        <v>12</v>
      </c>
      <c r="E586" t="s">
        <v>13</v>
      </c>
      <c r="F586">
        <v>12</v>
      </c>
      <c r="G586" s="6">
        <v>1491.26</v>
      </c>
      <c r="H586" s="5">
        <v>17895.12</v>
      </c>
      <c r="I586">
        <v>4.5</v>
      </c>
    </row>
    <row r="587" spans="1:9" x14ac:dyDescent="0.35">
      <c r="A587" t="s">
        <v>903</v>
      </c>
      <c r="B587" s="1">
        <v>46014</v>
      </c>
      <c r="C587" t="s">
        <v>16</v>
      </c>
      <c r="D587" t="s">
        <v>19</v>
      </c>
      <c r="E587" t="s">
        <v>28</v>
      </c>
      <c r="F587">
        <v>18</v>
      </c>
      <c r="G587" s="6">
        <v>404.63</v>
      </c>
      <c r="H587" s="5">
        <v>7283.34</v>
      </c>
      <c r="I587">
        <v>3.1</v>
      </c>
    </row>
    <row r="588" spans="1:9" x14ac:dyDescent="0.35">
      <c r="A588" t="s">
        <v>904</v>
      </c>
      <c r="B588" s="1">
        <v>45955</v>
      </c>
      <c r="C588" t="s">
        <v>38</v>
      </c>
      <c r="D588" t="s">
        <v>24</v>
      </c>
      <c r="E588" t="s">
        <v>25</v>
      </c>
      <c r="F588">
        <v>7</v>
      </c>
      <c r="G588" s="6">
        <v>141.91</v>
      </c>
      <c r="H588" s="5">
        <v>993.37</v>
      </c>
      <c r="I588">
        <v>4.4000000000000004</v>
      </c>
    </row>
    <row r="589" spans="1:9" x14ac:dyDescent="0.35">
      <c r="A589" t="s">
        <v>906</v>
      </c>
      <c r="B589" s="1">
        <v>45694</v>
      </c>
      <c r="C589" t="s">
        <v>38</v>
      </c>
      <c r="D589" t="s">
        <v>19</v>
      </c>
      <c r="E589" t="s">
        <v>20</v>
      </c>
      <c r="F589">
        <v>22</v>
      </c>
      <c r="G589" s="6">
        <v>24.27</v>
      </c>
      <c r="H589" s="5">
        <v>533.94000000000005</v>
      </c>
      <c r="I589">
        <v>3.4</v>
      </c>
    </row>
    <row r="590" spans="1:9" x14ac:dyDescent="0.35">
      <c r="A590" t="s">
        <v>907</v>
      </c>
      <c r="B590" s="1">
        <v>45832</v>
      </c>
      <c r="C590" t="s">
        <v>23</v>
      </c>
      <c r="D590" t="s">
        <v>24</v>
      </c>
      <c r="E590" t="s">
        <v>44</v>
      </c>
      <c r="F590">
        <v>23</v>
      </c>
      <c r="G590" s="6">
        <v>1123.83</v>
      </c>
      <c r="H590" s="5">
        <v>25848.09</v>
      </c>
      <c r="I590">
        <v>4.5999999999999996</v>
      </c>
    </row>
    <row r="591" spans="1:9" x14ac:dyDescent="0.35">
      <c r="A591" t="s">
        <v>908</v>
      </c>
      <c r="B591" s="1">
        <v>45698</v>
      </c>
      <c r="C591" t="s">
        <v>11</v>
      </c>
      <c r="D591" t="s">
        <v>12</v>
      </c>
      <c r="E591" t="s">
        <v>90</v>
      </c>
      <c r="F591">
        <v>11</v>
      </c>
      <c r="G591" s="6">
        <v>963.9</v>
      </c>
      <c r="H591" s="5">
        <v>10602.9</v>
      </c>
      <c r="I591">
        <v>4.7</v>
      </c>
    </row>
    <row r="592" spans="1:9" x14ac:dyDescent="0.35">
      <c r="A592" t="s">
        <v>909</v>
      </c>
      <c r="B592" s="1">
        <v>45756</v>
      </c>
      <c r="C592" t="s">
        <v>23</v>
      </c>
      <c r="D592" t="s">
        <v>19</v>
      </c>
      <c r="E592" t="s">
        <v>20</v>
      </c>
      <c r="F592">
        <v>15</v>
      </c>
      <c r="G592" s="6">
        <v>223.04</v>
      </c>
      <c r="H592" s="5">
        <v>3345.6</v>
      </c>
      <c r="I592">
        <v>3.8</v>
      </c>
    </row>
    <row r="593" spans="1:9" x14ac:dyDescent="0.35">
      <c r="A593" t="s">
        <v>911</v>
      </c>
      <c r="B593" s="1">
        <v>45940</v>
      </c>
      <c r="C593" t="s">
        <v>38</v>
      </c>
      <c r="D593" t="s">
        <v>24</v>
      </c>
      <c r="E593" t="s">
        <v>69</v>
      </c>
      <c r="F593">
        <v>11</v>
      </c>
      <c r="G593" s="6">
        <v>13.29</v>
      </c>
      <c r="H593" s="5">
        <v>146.19</v>
      </c>
      <c r="I593">
        <v>4.2</v>
      </c>
    </row>
    <row r="594" spans="1:9" x14ac:dyDescent="0.35">
      <c r="A594" t="s">
        <v>913</v>
      </c>
      <c r="B594" s="1">
        <v>45991</v>
      </c>
      <c r="C594" t="s">
        <v>38</v>
      </c>
      <c r="D594" t="s">
        <v>12</v>
      </c>
      <c r="E594" t="s">
        <v>90</v>
      </c>
      <c r="F594">
        <v>1</v>
      </c>
      <c r="G594" s="6">
        <v>220.23</v>
      </c>
      <c r="H594" s="5">
        <v>220.23</v>
      </c>
      <c r="I594">
        <v>3.9</v>
      </c>
    </row>
    <row r="595" spans="1:9" x14ac:dyDescent="0.35">
      <c r="A595" t="s">
        <v>915</v>
      </c>
      <c r="B595" s="1">
        <v>45863</v>
      </c>
      <c r="C595" t="s">
        <v>38</v>
      </c>
      <c r="D595" t="s">
        <v>19</v>
      </c>
      <c r="E595" t="s">
        <v>20</v>
      </c>
      <c r="F595">
        <v>11</v>
      </c>
      <c r="G595" s="6">
        <v>562.27</v>
      </c>
      <c r="H595" s="5">
        <v>6184.97</v>
      </c>
      <c r="I595">
        <v>4.0999999999999996</v>
      </c>
    </row>
    <row r="596" spans="1:9" x14ac:dyDescent="0.35">
      <c r="A596" t="s">
        <v>917</v>
      </c>
      <c r="B596" s="1">
        <v>46021</v>
      </c>
      <c r="C596" t="s">
        <v>38</v>
      </c>
      <c r="D596" t="s">
        <v>12</v>
      </c>
      <c r="E596" t="s">
        <v>90</v>
      </c>
      <c r="F596">
        <v>4</v>
      </c>
      <c r="G596" s="6">
        <v>376.89</v>
      </c>
      <c r="H596" s="5">
        <v>1507.56</v>
      </c>
      <c r="I596">
        <v>3.7</v>
      </c>
    </row>
    <row r="597" spans="1:9" x14ac:dyDescent="0.35">
      <c r="A597" t="s">
        <v>919</v>
      </c>
      <c r="B597" s="1">
        <v>45988</v>
      </c>
      <c r="C597" t="s">
        <v>23</v>
      </c>
      <c r="D597" t="s">
        <v>12</v>
      </c>
      <c r="E597" t="s">
        <v>13</v>
      </c>
      <c r="F597">
        <v>20</v>
      </c>
      <c r="G597" s="6">
        <v>1344.64</v>
      </c>
      <c r="H597" s="5">
        <v>26892.799999999999</v>
      </c>
      <c r="I597">
        <v>4.0999999999999996</v>
      </c>
    </row>
    <row r="598" spans="1:9" x14ac:dyDescent="0.35">
      <c r="A598" t="s">
        <v>920</v>
      </c>
      <c r="B598" s="1">
        <v>45709</v>
      </c>
      <c r="C598" t="s">
        <v>16</v>
      </c>
      <c r="D598" t="s">
        <v>12</v>
      </c>
      <c r="E598" t="s">
        <v>90</v>
      </c>
      <c r="F598">
        <v>6</v>
      </c>
      <c r="G598" s="6">
        <v>673.48</v>
      </c>
      <c r="H598" s="5">
        <v>4040.88</v>
      </c>
      <c r="I598">
        <v>3.1</v>
      </c>
    </row>
    <row r="599" spans="1:9" x14ac:dyDescent="0.35">
      <c r="A599" t="s">
        <v>921</v>
      </c>
      <c r="B599" s="1">
        <v>45697</v>
      </c>
      <c r="C599" t="s">
        <v>23</v>
      </c>
      <c r="D599" t="s">
        <v>19</v>
      </c>
      <c r="E599" t="s">
        <v>28</v>
      </c>
      <c r="F599">
        <v>15</v>
      </c>
      <c r="G599" s="6">
        <v>1323.62</v>
      </c>
      <c r="H599" s="5">
        <v>19854.3</v>
      </c>
      <c r="I599">
        <v>3.6</v>
      </c>
    </row>
    <row r="600" spans="1:9" x14ac:dyDescent="0.35">
      <c r="A600" t="s">
        <v>923</v>
      </c>
      <c r="B600" s="1">
        <v>45974</v>
      </c>
      <c r="C600" t="s">
        <v>11</v>
      </c>
      <c r="D600" t="s">
        <v>19</v>
      </c>
      <c r="E600" t="s">
        <v>20</v>
      </c>
      <c r="F600">
        <v>25</v>
      </c>
      <c r="G600" s="6">
        <v>1144.21</v>
      </c>
      <c r="H600" s="5">
        <v>28605.25</v>
      </c>
      <c r="I600">
        <v>3.5</v>
      </c>
    </row>
    <row r="601" spans="1:9" x14ac:dyDescent="0.35">
      <c r="A601" t="s">
        <v>924</v>
      </c>
      <c r="B601" s="1">
        <v>45668</v>
      </c>
      <c r="C601" t="s">
        <v>11</v>
      </c>
      <c r="D601" t="s">
        <v>19</v>
      </c>
      <c r="E601" t="s">
        <v>20</v>
      </c>
      <c r="F601">
        <v>10</v>
      </c>
      <c r="G601" s="6">
        <v>1045.42</v>
      </c>
      <c r="H601" s="5">
        <v>10454.200000000001</v>
      </c>
      <c r="I601">
        <v>3.9</v>
      </c>
    </row>
    <row r="602" spans="1:9" x14ac:dyDescent="0.35">
      <c r="A602" t="s">
        <v>925</v>
      </c>
      <c r="B602" s="1">
        <v>45683</v>
      </c>
      <c r="C602" t="s">
        <v>11</v>
      </c>
      <c r="D602" t="s">
        <v>19</v>
      </c>
      <c r="E602" t="s">
        <v>20</v>
      </c>
      <c r="F602">
        <v>11</v>
      </c>
      <c r="G602" s="6">
        <v>1472.07</v>
      </c>
      <c r="H602" s="5">
        <v>16192.77</v>
      </c>
      <c r="I602">
        <v>4.5</v>
      </c>
    </row>
    <row r="603" spans="1:9" x14ac:dyDescent="0.35">
      <c r="A603" t="s">
        <v>927</v>
      </c>
      <c r="B603" s="1">
        <v>45759</v>
      </c>
      <c r="C603" t="s">
        <v>23</v>
      </c>
      <c r="D603" t="s">
        <v>24</v>
      </c>
      <c r="E603" t="s">
        <v>69</v>
      </c>
      <c r="F603">
        <v>2</v>
      </c>
      <c r="G603" s="6">
        <v>106.75</v>
      </c>
      <c r="H603" s="5">
        <v>213.5</v>
      </c>
      <c r="I603">
        <v>4.8</v>
      </c>
    </row>
    <row r="604" spans="1:9" x14ac:dyDescent="0.35">
      <c r="A604" t="s">
        <v>928</v>
      </c>
      <c r="B604" s="1">
        <v>45823</v>
      </c>
      <c r="C604" t="s">
        <v>23</v>
      </c>
      <c r="D604" t="s">
        <v>24</v>
      </c>
      <c r="E604" t="s">
        <v>44</v>
      </c>
      <c r="F604">
        <v>10</v>
      </c>
      <c r="G604" s="6">
        <v>1374.66</v>
      </c>
      <c r="H604" s="5">
        <v>13746.6</v>
      </c>
      <c r="I604">
        <v>4.4000000000000004</v>
      </c>
    </row>
    <row r="605" spans="1:9" x14ac:dyDescent="0.35">
      <c r="A605" t="s">
        <v>929</v>
      </c>
      <c r="B605" s="1">
        <v>45802</v>
      </c>
      <c r="C605" t="s">
        <v>38</v>
      </c>
      <c r="D605" t="s">
        <v>24</v>
      </c>
      <c r="E605" t="s">
        <v>44</v>
      </c>
      <c r="F605">
        <v>5</v>
      </c>
      <c r="G605" s="6">
        <v>1168.0999999999999</v>
      </c>
      <c r="H605" s="5">
        <v>5840.5</v>
      </c>
      <c r="I605">
        <v>4.5</v>
      </c>
    </row>
    <row r="606" spans="1:9" x14ac:dyDescent="0.35">
      <c r="A606" t="s">
        <v>930</v>
      </c>
      <c r="B606" s="1">
        <v>45747</v>
      </c>
      <c r="C606" t="s">
        <v>11</v>
      </c>
      <c r="D606" t="s">
        <v>12</v>
      </c>
      <c r="E606" t="s">
        <v>17</v>
      </c>
      <c r="F606">
        <v>3</v>
      </c>
      <c r="G606" s="6">
        <v>186.08</v>
      </c>
      <c r="H606" s="5">
        <v>558.24</v>
      </c>
      <c r="I606">
        <v>3.5</v>
      </c>
    </row>
    <row r="607" spans="1:9" x14ac:dyDescent="0.35">
      <c r="A607" t="s">
        <v>931</v>
      </c>
      <c r="B607" s="1">
        <v>45830</v>
      </c>
      <c r="C607" t="s">
        <v>11</v>
      </c>
      <c r="D607" t="s">
        <v>24</v>
      </c>
      <c r="E607" t="s">
        <v>69</v>
      </c>
      <c r="F607">
        <v>4</v>
      </c>
      <c r="G607" s="6">
        <v>793.52</v>
      </c>
      <c r="H607" s="5">
        <v>3174.08</v>
      </c>
      <c r="I607">
        <v>4.2</v>
      </c>
    </row>
    <row r="608" spans="1:9" x14ac:dyDescent="0.35">
      <c r="A608" t="s">
        <v>932</v>
      </c>
      <c r="B608" s="1">
        <v>45917</v>
      </c>
      <c r="C608" t="s">
        <v>16</v>
      </c>
      <c r="D608" t="s">
        <v>12</v>
      </c>
      <c r="E608" t="s">
        <v>90</v>
      </c>
      <c r="F608">
        <v>24</v>
      </c>
      <c r="G608" s="6">
        <v>940.09</v>
      </c>
      <c r="H608" s="5">
        <v>22562.16</v>
      </c>
      <c r="I608">
        <v>4.4000000000000004</v>
      </c>
    </row>
    <row r="609" spans="1:9" x14ac:dyDescent="0.35">
      <c r="A609" t="s">
        <v>934</v>
      </c>
      <c r="B609" s="1">
        <v>45737</v>
      </c>
      <c r="C609" t="s">
        <v>23</v>
      </c>
      <c r="D609" t="s">
        <v>19</v>
      </c>
      <c r="E609" t="s">
        <v>28</v>
      </c>
      <c r="F609">
        <v>14</v>
      </c>
      <c r="G609" s="6">
        <v>77.709999999999994</v>
      </c>
      <c r="H609" s="5">
        <v>1087.94</v>
      </c>
      <c r="I609">
        <v>3.1</v>
      </c>
    </row>
    <row r="610" spans="1:9" x14ac:dyDescent="0.35">
      <c r="A610" t="s">
        <v>935</v>
      </c>
      <c r="B610" s="1">
        <v>45948</v>
      </c>
      <c r="C610" t="s">
        <v>23</v>
      </c>
      <c r="D610" t="s">
        <v>12</v>
      </c>
      <c r="E610" t="s">
        <v>13</v>
      </c>
      <c r="F610">
        <v>8</v>
      </c>
      <c r="G610" s="6">
        <v>1134.04</v>
      </c>
      <c r="H610" s="5">
        <v>9072.32</v>
      </c>
      <c r="I610">
        <v>4.4000000000000004</v>
      </c>
    </row>
    <row r="611" spans="1:9" x14ac:dyDescent="0.35">
      <c r="A611" t="s">
        <v>936</v>
      </c>
      <c r="B611" s="1">
        <v>45748</v>
      </c>
      <c r="C611" t="s">
        <v>16</v>
      </c>
      <c r="D611" t="s">
        <v>19</v>
      </c>
      <c r="E611" t="s">
        <v>28</v>
      </c>
      <c r="F611">
        <v>13</v>
      </c>
      <c r="G611" s="6">
        <v>1328.3</v>
      </c>
      <c r="H611" s="5">
        <v>17267.900000000001</v>
      </c>
      <c r="I611">
        <v>3.6</v>
      </c>
    </row>
    <row r="612" spans="1:9" x14ac:dyDescent="0.35">
      <c r="A612" t="s">
        <v>937</v>
      </c>
      <c r="B612" s="1">
        <v>45774</v>
      </c>
      <c r="C612" t="s">
        <v>16</v>
      </c>
      <c r="D612" t="s">
        <v>12</v>
      </c>
      <c r="E612" t="s">
        <v>13</v>
      </c>
      <c r="F612">
        <v>19</v>
      </c>
      <c r="G612" s="6">
        <v>675.59</v>
      </c>
      <c r="H612" s="5">
        <v>12836.21</v>
      </c>
      <c r="I612">
        <v>4.3</v>
      </c>
    </row>
    <row r="613" spans="1:9" x14ac:dyDescent="0.35">
      <c r="A613" t="s">
        <v>938</v>
      </c>
      <c r="B613" s="1">
        <v>45892</v>
      </c>
      <c r="C613" t="s">
        <v>11</v>
      </c>
      <c r="D613" t="s">
        <v>19</v>
      </c>
      <c r="E613" t="s">
        <v>28</v>
      </c>
      <c r="F613">
        <v>19</v>
      </c>
      <c r="G613" s="6">
        <v>1435.2</v>
      </c>
      <c r="H613" s="5">
        <v>27268.799999999999</v>
      </c>
      <c r="I613">
        <v>3.1</v>
      </c>
    </row>
    <row r="614" spans="1:9" x14ac:dyDescent="0.35">
      <c r="A614" t="s">
        <v>939</v>
      </c>
      <c r="B614" s="1">
        <v>45977</v>
      </c>
      <c r="C614" t="s">
        <v>11</v>
      </c>
      <c r="D614" t="s">
        <v>12</v>
      </c>
      <c r="E614" t="s">
        <v>90</v>
      </c>
      <c r="F614">
        <v>16</v>
      </c>
      <c r="G614" s="6">
        <v>952.49</v>
      </c>
      <c r="H614" s="5">
        <v>15239.84</v>
      </c>
      <c r="I614">
        <v>3.4</v>
      </c>
    </row>
    <row r="615" spans="1:9" x14ac:dyDescent="0.35">
      <c r="A615" t="s">
        <v>940</v>
      </c>
      <c r="B615" s="1">
        <v>45905</v>
      </c>
      <c r="C615" t="s">
        <v>16</v>
      </c>
      <c r="D615" t="s">
        <v>12</v>
      </c>
      <c r="E615" t="s">
        <v>13</v>
      </c>
      <c r="F615">
        <v>16</v>
      </c>
      <c r="G615" s="6">
        <v>1273.57</v>
      </c>
      <c r="H615" s="5">
        <v>20377.12</v>
      </c>
      <c r="I615">
        <v>4.2</v>
      </c>
    </row>
    <row r="616" spans="1:9" x14ac:dyDescent="0.35">
      <c r="A616" t="s">
        <v>942</v>
      </c>
      <c r="B616" s="1">
        <v>45874</v>
      </c>
      <c r="C616" t="s">
        <v>11</v>
      </c>
      <c r="D616" t="s">
        <v>12</v>
      </c>
      <c r="E616" t="s">
        <v>90</v>
      </c>
      <c r="F616">
        <v>22</v>
      </c>
      <c r="G616" s="6">
        <v>119.72</v>
      </c>
      <c r="H616" s="5">
        <v>2633.84</v>
      </c>
      <c r="I616">
        <v>3.7</v>
      </c>
    </row>
    <row r="617" spans="1:9" x14ac:dyDescent="0.35">
      <c r="A617" t="s">
        <v>944</v>
      </c>
      <c r="B617" s="1">
        <v>45803</v>
      </c>
      <c r="C617" t="s">
        <v>11</v>
      </c>
      <c r="D617" t="s">
        <v>19</v>
      </c>
      <c r="E617" t="s">
        <v>20</v>
      </c>
      <c r="F617">
        <v>14</v>
      </c>
      <c r="G617" s="6">
        <v>469.03</v>
      </c>
      <c r="H617" s="5">
        <v>6566.42</v>
      </c>
      <c r="I617">
        <v>4.4000000000000004</v>
      </c>
    </row>
    <row r="618" spans="1:9" x14ac:dyDescent="0.35">
      <c r="A618" t="s">
        <v>945</v>
      </c>
      <c r="B618" s="1">
        <v>45773</v>
      </c>
      <c r="C618" t="s">
        <v>38</v>
      </c>
      <c r="D618" t="s">
        <v>24</v>
      </c>
      <c r="E618" t="s">
        <v>44</v>
      </c>
      <c r="F618">
        <v>1</v>
      </c>
      <c r="G618" s="6">
        <v>1185.46</v>
      </c>
      <c r="H618" s="5">
        <v>1185.46</v>
      </c>
      <c r="I618">
        <v>3.1</v>
      </c>
    </row>
    <row r="619" spans="1:9" x14ac:dyDescent="0.35">
      <c r="A619" t="s">
        <v>946</v>
      </c>
      <c r="B619" s="1">
        <v>45702</v>
      </c>
      <c r="C619" t="s">
        <v>38</v>
      </c>
      <c r="D619" t="s">
        <v>19</v>
      </c>
      <c r="E619" t="s">
        <v>31</v>
      </c>
      <c r="F619">
        <v>24</v>
      </c>
      <c r="G619" s="6">
        <v>605.83000000000004</v>
      </c>
      <c r="H619" s="5">
        <v>14539.92</v>
      </c>
      <c r="I619">
        <v>3.3</v>
      </c>
    </row>
    <row r="620" spans="1:9" x14ac:dyDescent="0.35">
      <c r="A620" t="s">
        <v>947</v>
      </c>
      <c r="B620" s="1">
        <v>46016</v>
      </c>
      <c r="C620" t="s">
        <v>16</v>
      </c>
      <c r="D620" t="s">
        <v>19</v>
      </c>
      <c r="E620" t="s">
        <v>31</v>
      </c>
      <c r="F620">
        <v>7</v>
      </c>
      <c r="G620" s="6">
        <v>85.43</v>
      </c>
      <c r="H620" s="5">
        <v>598.01</v>
      </c>
      <c r="I620">
        <v>4.0999999999999996</v>
      </c>
    </row>
    <row r="621" spans="1:9" x14ac:dyDescent="0.35">
      <c r="A621" t="s">
        <v>948</v>
      </c>
      <c r="B621" s="1">
        <v>45807</v>
      </c>
      <c r="C621" t="s">
        <v>38</v>
      </c>
      <c r="D621" t="s">
        <v>19</v>
      </c>
      <c r="E621" t="s">
        <v>28</v>
      </c>
      <c r="F621">
        <v>5</v>
      </c>
      <c r="G621" s="6">
        <v>1103.8599999999999</v>
      </c>
      <c r="H621" s="5">
        <v>5519.3</v>
      </c>
      <c r="I621">
        <v>3.4</v>
      </c>
    </row>
    <row r="622" spans="1:9" x14ac:dyDescent="0.35">
      <c r="A622" t="s">
        <v>949</v>
      </c>
      <c r="B622" s="1">
        <v>45836</v>
      </c>
      <c r="C622" t="s">
        <v>16</v>
      </c>
      <c r="D622" t="s">
        <v>19</v>
      </c>
      <c r="E622" t="s">
        <v>20</v>
      </c>
      <c r="F622">
        <v>22</v>
      </c>
      <c r="G622" s="6">
        <v>228.26</v>
      </c>
      <c r="H622" s="5">
        <v>5021.72</v>
      </c>
      <c r="I622">
        <v>3.9</v>
      </c>
    </row>
    <row r="623" spans="1:9" x14ac:dyDescent="0.35">
      <c r="A623" t="s">
        <v>950</v>
      </c>
      <c r="B623" s="1">
        <v>45864</v>
      </c>
      <c r="C623" t="s">
        <v>11</v>
      </c>
      <c r="D623" t="s">
        <v>24</v>
      </c>
      <c r="E623" t="s">
        <v>44</v>
      </c>
      <c r="F623">
        <v>24</v>
      </c>
      <c r="G623" s="6">
        <v>813.12</v>
      </c>
      <c r="H623" s="5">
        <v>19514.88</v>
      </c>
      <c r="I623">
        <v>4.7</v>
      </c>
    </row>
    <row r="624" spans="1:9" x14ac:dyDescent="0.35">
      <c r="A624" t="s">
        <v>951</v>
      </c>
      <c r="B624" s="1">
        <v>45773</v>
      </c>
      <c r="C624" t="s">
        <v>11</v>
      </c>
      <c r="D624" t="s">
        <v>19</v>
      </c>
      <c r="E624" t="s">
        <v>20</v>
      </c>
      <c r="F624">
        <v>6</v>
      </c>
      <c r="G624" s="6">
        <v>1135.95</v>
      </c>
      <c r="H624" s="5">
        <v>6815.7</v>
      </c>
      <c r="I624">
        <v>4.5</v>
      </c>
    </row>
    <row r="625" spans="1:9" x14ac:dyDescent="0.35">
      <c r="A625" t="s">
        <v>952</v>
      </c>
      <c r="B625" s="1">
        <v>45755</v>
      </c>
      <c r="C625" t="s">
        <v>16</v>
      </c>
      <c r="D625" t="s">
        <v>12</v>
      </c>
      <c r="E625" t="s">
        <v>90</v>
      </c>
      <c r="F625">
        <v>19</v>
      </c>
      <c r="G625" s="6">
        <v>1400.98</v>
      </c>
      <c r="H625" s="5">
        <v>26618.62</v>
      </c>
      <c r="I625">
        <v>3.5</v>
      </c>
    </row>
    <row r="626" spans="1:9" x14ac:dyDescent="0.35">
      <c r="A626" t="s">
        <v>953</v>
      </c>
      <c r="B626" s="1">
        <v>45858</v>
      </c>
      <c r="C626" t="s">
        <v>11</v>
      </c>
      <c r="D626" t="s">
        <v>24</v>
      </c>
      <c r="E626" t="s">
        <v>25</v>
      </c>
      <c r="F626">
        <v>7</v>
      </c>
      <c r="G626" s="6">
        <v>1185.54</v>
      </c>
      <c r="H626" s="5">
        <v>8298.7800000000007</v>
      </c>
      <c r="I626">
        <v>4.4000000000000004</v>
      </c>
    </row>
    <row r="627" spans="1:9" x14ac:dyDescent="0.35">
      <c r="A627" t="s">
        <v>954</v>
      </c>
      <c r="B627" s="1">
        <v>45938</v>
      </c>
      <c r="C627" t="s">
        <v>11</v>
      </c>
      <c r="D627" t="s">
        <v>12</v>
      </c>
      <c r="E627" t="s">
        <v>90</v>
      </c>
      <c r="F627">
        <v>11</v>
      </c>
      <c r="G627" s="6">
        <v>286.64</v>
      </c>
      <c r="H627" s="5">
        <v>3153.04</v>
      </c>
      <c r="I627">
        <v>3.7</v>
      </c>
    </row>
    <row r="628" spans="1:9" x14ac:dyDescent="0.35">
      <c r="A628" t="s">
        <v>955</v>
      </c>
      <c r="B628" s="1">
        <v>45977</v>
      </c>
      <c r="C628" t="s">
        <v>11</v>
      </c>
      <c r="D628" t="s">
        <v>24</v>
      </c>
      <c r="E628" t="s">
        <v>25</v>
      </c>
      <c r="F628">
        <v>20</v>
      </c>
      <c r="G628" s="6">
        <v>513.74</v>
      </c>
      <c r="H628" s="5">
        <v>10274.799999999999</v>
      </c>
      <c r="I628">
        <v>4.5</v>
      </c>
    </row>
    <row r="629" spans="1:9" x14ac:dyDescent="0.35">
      <c r="A629" t="s">
        <v>956</v>
      </c>
      <c r="B629" s="1">
        <v>45863</v>
      </c>
      <c r="C629" t="s">
        <v>38</v>
      </c>
      <c r="D629" t="s">
        <v>12</v>
      </c>
      <c r="E629" t="s">
        <v>90</v>
      </c>
      <c r="F629">
        <v>8</v>
      </c>
      <c r="G629" s="6">
        <v>865.64</v>
      </c>
      <c r="H629" s="5">
        <v>6925.12</v>
      </c>
      <c r="I629">
        <v>4.9000000000000004</v>
      </c>
    </row>
    <row r="630" spans="1:9" x14ac:dyDescent="0.35">
      <c r="A630" t="s">
        <v>957</v>
      </c>
      <c r="B630" s="1">
        <v>45805</v>
      </c>
      <c r="C630" t="s">
        <v>16</v>
      </c>
      <c r="D630" t="s">
        <v>19</v>
      </c>
      <c r="E630" t="s">
        <v>20</v>
      </c>
      <c r="F630">
        <v>8</v>
      </c>
      <c r="G630" s="6">
        <v>715.82</v>
      </c>
      <c r="H630" s="5">
        <v>5726.56</v>
      </c>
      <c r="I630">
        <v>3.5</v>
      </c>
    </row>
    <row r="631" spans="1:9" x14ac:dyDescent="0.35">
      <c r="A631" t="s">
        <v>959</v>
      </c>
      <c r="B631" s="1">
        <v>45870</v>
      </c>
      <c r="C631" t="s">
        <v>11</v>
      </c>
      <c r="D631" t="s">
        <v>12</v>
      </c>
      <c r="E631" t="s">
        <v>13</v>
      </c>
      <c r="F631">
        <v>16</v>
      </c>
      <c r="G631" s="6">
        <v>1415.22</v>
      </c>
      <c r="H631" s="5">
        <v>22643.52</v>
      </c>
      <c r="I631">
        <v>3.1</v>
      </c>
    </row>
    <row r="632" spans="1:9" x14ac:dyDescent="0.35">
      <c r="A632" t="s">
        <v>960</v>
      </c>
      <c r="B632" s="1">
        <v>45763</v>
      </c>
      <c r="C632" t="s">
        <v>16</v>
      </c>
      <c r="D632" t="s">
        <v>24</v>
      </c>
      <c r="E632" t="s">
        <v>69</v>
      </c>
      <c r="F632">
        <v>16</v>
      </c>
      <c r="G632" s="6">
        <v>751.5</v>
      </c>
      <c r="H632" s="5">
        <v>12024</v>
      </c>
      <c r="I632">
        <v>3.3</v>
      </c>
    </row>
    <row r="633" spans="1:9" x14ac:dyDescent="0.35">
      <c r="A633" t="s">
        <v>961</v>
      </c>
      <c r="B633" s="1">
        <v>45752</v>
      </c>
      <c r="C633" t="s">
        <v>23</v>
      </c>
      <c r="D633" t="s">
        <v>19</v>
      </c>
      <c r="E633" t="s">
        <v>31</v>
      </c>
      <c r="F633">
        <v>7</v>
      </c>
      <c r="G633" s="6">
        <v>1381.08</v>
      </c>
      <c r="H633" s="5">
        <v>9667.56</v>
      </c>
      <c r="I633">
        <v>4.7</v>
      </c>
    </row>
    <row r="634" spans="1:9" x14ac:dyDescent="0.35">
      <c r="A634" t="s">
        <v>962</v>
      </c>
      <c r="B634" s="1">
        <v>45899</v>
      </c>
      <c r="C634" t="s">
        <v>11</v>
      </c>
      <c r="D634" t="s">
        <v>19</v>
      </c>
      <c r="E634" t="s">
        <v>20</v>
      </c>
      <c r="F634">
        <v>17</v>
      </c>
      <c r="G634" s="6">
        <v>614.53</v>
      </c>
      <c r="H634" s="5">
        <v>10447.01</v>
      </c>
      <c r="I634">
        <v>4.8</v>
      </c>
    </row>
    <row r="635" spans="1:9" x14ac:dyDescent="0.35">
      <c r="A635" t="s">
        <v>963</v>
      </c>
      <c r="B635" s="1">
        <v>45811</v>
      </c>
      <c r="C635" t="s">
        <v>11</v>
      </c>
      <c r="D635" t="s">
        <v>24</v>
      </c>
      <c r="E635" t="s">
        <v>69</v>
      </c>
      <c r="F635">
        <v>2</v>
      </c>
      <c r="G635" s="6">
        <v>11.76</v>
      </c>
      <c r="H635" s="5">
        <v>23.52</v>
      </c>
      <c r="I635">
        <v>3.6</v>
      </c>
    </row>
    <row r="636" spans="1:9" x14ac:dyDescent="0.35">
      <c r="A636" t="s">
        <v>965</v>
      </c>
      <c r="B636" s="1">
        <v>45797</v>
      </c>
      <c r="C636" t="s">
        <v>23</v>
      </c>
      <c r="D636" t="s">
        <v>19</v>
      </c>
      <c r="E636" t="s">
        <v>20</v>
      </c>
      <c r="F636">
        <v>11</v>
      </c>
      <c r="G636" s="6">
        <v>1135.9000000000001</v>
      </c>
      <c r="H636" s="5">
        <v>12494.9</v>
      </c>
      <c r="I636">
        <v>3.4</v>
      </c>
    </row>
    <row r="637" spans="1:9" x14ac:dyDescent="0.35">
      <c r="A637" t="s">
        <v>967</v>
      </c>
      <c r="B637" s="1">
        <v>46021</v>
      </c>
      <c r="C637" t="s">
        <v>38</v>
      </c>
      <c r="D637" t="s">
        <v>24</v>
      </c>
      <c r="E637" t="s">
        <v>44</v>
      </c>
      <c r="F637">
        <v>19</v>
      </c>
      <c r="G637" s="6">
        <v>1380.91</v>
      </c>
      <c r="H637" s="5">
        <v>26237.29</v>
      </c>
      <c r="I637">
        <v>4.7</v>
      </c>
    </row>
    <row r="638" spans="1:9" x14ac:dyDescent="0.35">
      <c r="A638" t="s">
        <v>968</v>
      </c>
      <c r="B638" s="1">
        <v>45772</v>
      </c>
      <c r="C638" t="s">
        <v>16</v>
      </c>
      <c r="D638" t="s">
        <v>19</v>
      </c>
      <c r="E638" t="s">
        <v>20</v>
      </c>
      <c r="F638">
        <v>17</v>
      </c>
      <c r="G638" s="6">
        <v>1281.8599999999999</v>
      </c>
      <c r="H638" s="5">
        <v>21791.62</v>
      </c>
      <c r="I638">
        <v>4.7</v>
      </c>
    </row>
    <row r="639" spans="1:9" x14ac:dyDescent="0.35">
      <c r="A639" t="s">
        <v>969</v>
      </c>
      <c r="B639" s="1">
        <v>45790</v>
      </c>
      <c r="C639" t="s">
        <v>23</v>
      </c>
      <c r="D639" t="s">
        <v>19</v>
      </c>
      <c r="E639" t="s">
        <v>28</v>
      </c>
      <c r="F639">
        <v>24</v>
      </c>
      <c r="G639" s="6">
        <v>1220.54</v>
      </c>
      <c r="H639" s="5">
        <v>29292.959999999999</v>
      </c>
      <c r="I639">
        <v>3.6</v>
      </c>
    </row>
    <row r="640" spans="1:9" x14ac:dyDescent="0.35">
      <c r="A640" t="s">
        <v>971</v>
      </c>
      <c r="B640" s="1">
        <v>45807</v>
      </c>
      <c r="C640" t="s">
        <v>23</v>
      </c>
      <c r="D640" t="s">
        <v>12</v>
      </c>
      <c r="E640" t="s">
        <v>90</v>
      </c>
      <c r="F640">
        <v>17</v>
      </c>
      <c r="G640" s="6">
        <v>1381.39</v>
      </c>
      <c r="H640" s="5">
        <v>23483.63</v>
      </c>
      <c r="I640">
        <v>3.6</v>
      </c>
    </row>
    <row r="641" spans="1:9" x14ac:dyDescent="0.35">
      <c r="A641" t="s">
        <v>972</v>
      </c>
      <c r="B641" s="1">
        <v>45868</v>
      </c>
      <c r="C641" t="s">
        <v>11</v>
      </c>
      <c r="D641" t="s">
        <v>19</v>
      </c>
      <c r="E641" t="s">
        <v>20</v>
      </c>
      <c r="F641">
        <v>12</v>
      </c>
      <c r="G641" s="6">
        <v>393.86</v>
      </c>
      <c r="H641" s="5">
        <v>4726.32</v>
      </c>
      <c r="I641">
        <v>4.3</v>
      </c>
    </row>
    <row r="642" spans="1:9" x14ac:dyDescent="0.35">
      <c r="A642" t="s">
        <v>973</v>
      </c>
      <c r="B642" s="1">
        <v>45739</v>
      </c>
      <c r="C642" t="s">
        <v>38</v>
      </c>
      <c r="D642" t="s">
        <v>12</v>
      </c>
      <c r="E642" t="s">
        <v>90</v>
      </c>
      <c r="F642">
        <v>12</v>
      </c>
      <c r="G642" s="6">
        <v>1438.02</v>
      </c>
      <c r="H642" s="5">
        <v>17256.240000000002</v>
      </c>
      <c r="I642">
        <v>3.2</v>
      </c>
    </row>
    <row r="643" spans="1:9" x14ac:dyDescent="0.35">
      <c r="A643" t="s">
        <v>975</v>
      </c>
      <c r="B643" s="1">
        <v>45874</v>
      </c>
      <c r="C643" t="s">
        <v>23</v>
      </c>
      <c r="D643" t="s">
        <v>12</v>
      </c>
      <c r="E643" t="s">
        <v>90</v>
      </c>
      <c r="F643">
        <v>20</v>
      </c>
      <c r="G643" s="6">
        <v>551.77</v>
      </c>
      <c r="H643" s="5">
        <v>11035.4</v>
      </c>
      <c r="I643">
        <v>4.7</v>
      </c>
    </row>
    <row r="644" spans="1:9" x14ac:dyDescent="0.35">
      <c r="A644" t="s">
        <v>976</v>
      </c>
      <c r="B644" s="1">
        <v>45774</v>
      </c>
      <c r="C644" t="s">
        <v>11</v>
      </c>
      <c r="D644" t="s">
        <v>24</v>
      </c>
      <c r="E644" t="s">
        <v>69</v>
      </c>
      <c r="F644">
        <v>11</v>
      </c>
      <c r="G644" s="6">
        <v>458.22</v>
      </c>
      <c r="H644" s="5">
        <v>5040.42</v>
      </c>
      <c r="I644">
        <v>3.4</v>
      </c>
    </row>
    <row r="645" spans="1:9" x14ac:dyDescent="0.35">
      <c r="A645" t="s">
        <v>977</v>
      </c>
      <c r="B645" s="1">
        <v>45791</v>
      </c>
      <c r="C645" t="s">
        <v>16</v>
      </c>
      <c r="D645" t="s">
        <v>24</v>
      </c>
      <c r="E645" t="s">
        <v>69</v>
      </c>
      <c r="F645">
        <v>14</v>
      </c>
      <c r="G645" s="6">
        <v>388.9</v>
      </c>
      <c r="H645" s="5">
        <v>5444.6</v>
      </c>
      <c r="I645">
        <v>4.0999999999999996</v>
      </c>
    </row>
    <row r="646" spans="1:9" x14ac:dyDescent="0.35">
      <c r="A646" t="s">
        <v>978</v>
      </c>
      <c r="B646" s="1">
        <v>45832</v>
      </c>
      <c r="C646" t="s">
        <v>23</v>
      </c>
      <c r="D646" t="s">
        <v>24</v>
      </c>
      <c r="E646" t="s">
        <v>69</v>
      </c>
      <c r="F646">
        <v>17</v>
      </c>
      <c r="G646" s="6">
        <v>733.18</v>
      </c>
      <c r="H646" s="5">
        <v>12464.06</v>
      </c>
      <c r="I646">
        <v>4.9000000000000004</v>
      </c>
    </row>
    <row r="647" spans="1:9" x14ac:dyDescent="0.35">
      <c r="A647" t="s">
        <v>979</v>
      </c>
      <c r="B647" s="1">
        <v>45908</v>
      </c>
      <c r="C647" t="s">
        <v>38</v>
      </c>
      <c r="D647" t="s">
        <v>19</v>
      </c>
      <c r="E647" t="s">
        <v>20</v>
      </c>
      <c r="F647">
        <v>22</v>
      </c>
      <c r="G647" s="6">
        <v>701.58</v>
      </c>
      <c r="H647" s="5">
        <v>15434.76</v>
      </c>
      <c r="I647">
        <v>4.5999999999999996</v>
      </c>
    </row>
    <row r="648" spans="1:9" x14ac:dyDescent="0.35">
      <c r="A648" t="s">
        <v>980</v>
      </c>
      <c r="B648" s="1">
        <v>45822</v>
      </c>
      <c r="C648" t="s">
        <v>16</v>
      </c>
      <c r="D648" t="s">
        <v>12</v>
      </c>
      <c r="E648" t="s">
        <v>13</v>
      </c>
      <c r="F648">
        <v>8</v>
      </c>
      <c r="G648" s="6">
        <v>1161.49</v>
      </c>
      <c r="H648" s="5">
        <v>9291.92</v>
      </c>
      <c r="I648">
        <v>4.4000000000000004</v>
      </c>
    </row>
    <row r="649" spans="1:9" x14ac:dyDescent="0.35">
      <c r="A649" t="s">
        <v>982</v>
      </c>
      <c r="B649" s="1">
        <v>45849</v>
      </c>
      <c r="C649" t="s">
        <v>11</v>
      </c>
      <c r="D649" t="s">
        <v>12</v>
      </c>
      <c r="E649" t="s">
        <v>13</v>
      </c>
      <c r="F649">
        <v>4</v>
      </c>
      <c r="G649" s="6">
        <v>1167.1400000000001</v>
      </c>
      <c r="H649" s="5">
        <v>4668.5600000000004</v>
      </c>
      <c r="I649">
        <v>3.9</v>
      </c>
    </row>
    <row r="650" spans="1:9" x14ac:dyDescent="0.35">
      <c r="A650" t="s">
        <v>983</v>
      </c>
      <c r="B650" s="1">
        <v>45681</v>
      </c>
      <c r="C650" t="s">
        <v>23</v>
      </c>
      <c r="D650" t="s">
        <v>12</v>
      </c>
      <c r="E650" t="s">
        <v>13</v>
      </c>
      <c r="F650">
        <v>9</v>
      </c>
      <c r="G650" s="6">
        <v>680.57</v>
      </c>
      <c r="H650" s="5">
        <v>6125.13</v>
      </c>
      <c r="I650">
        <v>3.7</v>
      </c>
    </row>
    <row r="651" spans="1:9" x14ac:dyDescent="0.35">
      <c r="A651" t="s">
        <v>984</v>
      </c>
      <c r="B651" s="1">
        <v>45817</v>
      </c>
      <c r="C651" t="s">
        <v>11</v>
      </c>
      <c r="D651" t="s">
        <v>19</v>
      </c>
      <c r="E651" t="s">
        <v>28</v>
      </c>
      <c r="F651">
        <v>7</v>
      </c>
      <c r="G651" s="6">
        <v>404.65</v>
      </c>
      <c r="H651" s="5">
        <v>2832.55</v>
      </c>
      <c r="I651">
        <v>3.4</v>
      </c>
    </row>
    <row r="652" spans="1:9" x14ac:dyDescent="0.35">
      <c r="A652" t="s">
        <v>985</v>
      </c>
      <c r="B652" s="1">
        <v>45934</v>
      </c>
      <c r="C652" t="s">
        <v>23</v>
      </c>
      <c r="D652" t="s">
        <v>19</v>
      </c>
      <c r="E652" t="s">
        <v>20</v>
      </c>
      <c r="F652">
        <v>8</v>
      </c>
      <c r="G652" s="6">
        <v>362.23</v>
      </c>
      <c r="H652" s="5">
        <v>2897.84</v>
      </c>
      <c r="I652">
        <v>4.4000000000000004</v>
      </c>
    </row>
    <row r="653" spans="1:9" x14ac:dyDescent="0.35">
      <c r="A653" t="s">
        <v>986</v>
      </c>
      <c r="B653" s="1">
        <v>45932</v>
      </c>
      <c r="C653" t="s">
        <v>11</v>
      </c>
      <c r="D653" t="s">
        <v>24</v>
      </c>
      <c r="E653" t="s">
        <v>25</v>
      </c>
      <c r="F653">
        <v>22</v>
      </c>
      <c r="G653" s="6">
        <v>283.17</v>
      </c>
      <c r="H653" s="5">
        <v>6229.74</v>
      </c>
      <c r="I653">
        <v>4</v>
      </c>
    </row>
    <row r="654" spans="1:9" x14ac:dyDescent="0.35">
      <c r="A654" t="s">
        <v>987</v>
      </c>
      <c r="B654" s="1">
        <v>45680</v>
      </c>
      <c r="C654" t="s">
        <v>16</v>
      </c>
      <c r="D654" t="s">
        <v>12</v>
      </c>
      <c r="E654" t="s">
        <v>17</v>
      </c>
      <c r="F654">
        <v>16</v>
      </c>
      <c r="G654" s="6">
        <v>624.95000000000005</v>
      </c>
      <c r="H654" s="5">
        <v>9999.2000000000007</v>
      </c>
      <c r="I654">
        <v>4.0999999999999996</v>
      </c>
    </row>
    <row r="655" spans="1:9" x14ac:dyDescent="0.35">
      <c r="A655" t="s">
        <v>988</v>
      </c>
      <c r="B655" s="1">
        <v>45688</v>
      </c>
      <c r="C655" t="s">
        <v>38</v>
      </c>
      <c r="D655" t="s">
        <v>12</v>
      </c>
      <c r="E655" t="s">
        <v>17</v>
      </c>
      <c r="F655">
        <v>11</v>
      </c>
      <c r="G655" s="6">
        <v>449.92</v>
      </c>
      <c r="H655" s="5">
        <v>4949.12</v>
      </c>
      <c r="I655">
        <v>4.2</v>
      </c>
    </row>
    <row r="656" spans="1:9" x14ac:dyDescent="0.35">
      <c r="A656" t="s">
        <v>989</v>
      </c>
      <c r="B656" s="1">
        <v>45899</v>
      </c>
      <c r="C656" t="s">
        <v>23</v>
      </c>
      <c r="D656" t="s">
        <v>19</v>
      </c>
      <c r="E656" t="s">
        <v>20</v>
      </c>
      <c r="F656">
        <v>18</v>
      </c>
      <c r="G656" s="6">
        <v>569.16</v>
      </c>
      <c r="H656" s="5">
        <v>10244.879999999999</v>
      </c>
      <c r="I656">
        <v>3.3</v>
      </c>
    </row>
    <row r="657" spans="1:9" x14ac:dyDescent="0.35">
      <c r="A657" t="s">
        <v>990</v>
      </c>
      <c r="B657" s="1">
        <v>45767</v>
      </c>
      <c r="C657" t="s">
        <v>11</v>
      </c>
      <c r="D657" t="s">
        <v>24</v>
      </c>
      <c r="E657" t="s">
        <v>25</v>
      </c>
      <c r="F657">
        <v>19</v>
      </c>
      <c r="G657" s="6">
        <v>111.11</v>
      </c>
      <c r="H657" s="5">
        <v>2111.09</v>
      </c>
      <c r="I657">
        <v>4.8</v>
      </c>
    </row>
    <row r="658" spans="1:9" x14ac:dyDescent="0.35">
      <c r="A658" t="s">
        <v>991</v>
      </c>
      <c r="B658" s="1">
        <v>45790</v>
      </c>
      <c r="C658" t="s">
        <v>11</v>
      </c>
      <c r="D658" t="s">
        <v>12</v>
      </c>
      <c r="E658" t="s">
        <v>17</v>
      </c>
      <c r="F658">
        <v>23</v>
      </c>
      <c r="G658" s="6">
        <v>470.93</v>
      </c>
      <c r="H658" s="5">
        <v>10831.39</v>
      </c>
      <c r="I658">
        <v>4.2</v>
      </c>
    </row>
    <row r="659" spans="1:9" x14ac:dyDescent="0.35">
      <c r="A659" t="s">
        <v>992</v>
      </c>
      <c r="B659" s="1">
        <v>45745</v>
      </c>
      <c r="C659" t="s">
        <v>38</v>
      </c>
      <c r="D659" t="s">
        <v>19</v>
      </c>
      <c r="E659" t="s">
        <v>20</v>
      </c>
      <c r="F659">
        <v>10</v>
      </c>
      <c r="G659" s="6">
        <v>864.88</v>
      </c>
      <c r="H659" s="5">
        <v>8648.7999999999993</v>
      </c>
      <c r="I659">
        <v>4.5</v>
      </c>
    </row>
    <row r="660" spans="1:9" x14ac:dyDescent="0.35">
      <c r="A660" t="s">
        <v>993</v>
      </c>
      <c r="B660" s="1">
        <v>45671</v>
      </c>
      <c r="C660" t="s">
        <v>23</v>
      </c>
      <c r="D660" t="s">
        <v>12</v>
      </c>
      <c r="E660" t="s">
        <v>90</v>
      </c>
      <c r="F660">
        <v>8</v>
      </c>
      <c r="G660" s="6">
        <v>943.51</v>
      </c>
      <c r="H660" s="5">
        <v>7548.08</v>
      </c>
      <c r="I660">
        <v>4.5</v>
      </c>
    </row>
    <row r="661" spans="1:9" x14ac:dyDescent="0.35">
      <c r="A661" t="s">
        <v>994</v>
      </c>
      <c r="B661" s="1">
        <v>45968</v>
      </c>
      <c r="C661" t="s">
        <v>11</v>
      </c>
      <c r="D661" t="s">
        <v>12</v>
      </c>
      <c r="E661" t="s">
        <v>13</v>
      </c>
      <c r="F661">
        <v>23</v>
      </c>
      <c r="G661" s="6">
        <v>853.64</v>
      </c>
      <c r="H661" s="5">
        <v>19633.72</v>
      </c>
      <c r="I661">
        <v>3.7</v>
      </c>
    </row>
    <row r="662" spans="1:9" x14ac:dyDescent="0.35">
      <c r="A662" t="s">
        <v>996</v>
      </c>
      <c r="B662" s="1">
        <v>45875</v>
      </c>
      <c r="C662" t="s">
        <v>11</v>
      </c>
      <c r="D662" t="s">
        <v>24</v>
      </c>
      <c r="E662" t="s">
        <v>44</v>
      </c>
      <c r="F662">
        <v>15</v>
      </c>
      <c r="G662" s="6">
        <v>1430.69</v>
      </c>
      <c r="H662" s="5">
        <v>21460.35</v>
      </c>
      <c r="I662">
        <v>3.8</v>
      </c>
    </row>
    <row r="663" spans="1:9" x14ac:dyDescent="0.35">
      <c r="A663" t="s">
        <v>997</v>
      </c>
      <c r="B663" s="1">
        <v>45941</v>
      </c>
      <c r="C663" t="s">
        <v>11</v>
      </c>
      <c r="D663" t="s">
        <v>24</v>
      </c>
      <c r="E663" t="s">
        <v>44</v>
      </c>
      <c r="F663">
        <v>2</v>
      </c>
      <c r="G663" s="6">
        <v>1072.69</v>
      </c>
      <c r="H663" s="5">
        <v>2145.38</v>
      </c>
      <c r="I663">
        <v>3</v>
      </c>
    </row>
    <row r="664" spans="1:9" x14ac:dyDescent="0.35">
      <c r="A664" t="s">
        <v>998</v>
      </c>
      <c r="B664" s="1">
        <v>45762</v>
      </c>
      <c r="C664" t="s">
        <v>38</v>
      </c>
      <c r="D664" t="s">
        <v>24</v>
      </c>
      <c r="E664" t="s">
        <v>25</v>
      </c>
      <c r="F664">
        <v>16</v>
      </c>
      <c r="G664" s="6">
        <v>1400.06</v>
      </c>
      <c r="H664" s="5">
        <v>22400.959999999999</v>
      </c>
      <c r="I664">
        <v>4.7</v>
      </c>
    </row>
    <row r="665" spans="1:9" x14ac:dyDescent="0.35">
      <c r="A665" t="s">
        <v>999</v>
      </c>
      <c r="B665" s="1">
        <v>45685</v>
      </c>
      <c r="C665" t="s">
        <v>38</v>
      </c>
      <c r="D665" t="s">
        <v>12</v>
      </c>
      <c r="E665" t="s">
        <v>17</v>
      </c>
      <c r="F665">
        <v>16</v>
      </c>
      <c r="G665" s="6">
        <v>677.26</v>
      </c>
      <c r="H665" s="5">
        <v>10836.16</v>
      </c>
      <c r="I665">
        <v>3.2</v>
      </c>
    </row>
    <row r="666" spans="1:9" x14ac:dyDescent="0.35">
      <c r="A666" t="s">
        <v>1001</v>
      </c>
      <c r="B666" s="1">
        <v>45692</v>
      </c>
      <c r="C666" t="s">
        <v>23</v>
      </c>
      <c r="D666" t="s">
        <v>19</v>
      </c>
      <c r="E666" t="s">
        <v>20</v>
      </c>
      <c r="F666">
        <v>15</v>
      </c>
      <c r="G666" s="6">
        <v>1231.9000000000001</v>
      </c>
      <c r="H666" s="5">
        <v>18478.5</v>
      </c>
      <c r="I666">
        <v>3.8</v>
      </c>
    </row>
    <row r="667" spans="1:9" x14ac:dyDescent="0.35">
      <c r="A667" t="s">
        <v>1003</v>
      </c>
      <c r="B667" s="1">
        <v>46004</v>
      </c>
      <c r="C667" t="s">
        <v>11</v>
      </c>
      <c r="D667" t="s">
        <v>12</v>
      </c>
      <c r="E667" t="s">
        <v>17</v>
      </c>
      <c r="F667">
        <v>24</v>
      </c>
      <c r="G667" s="6">
        <v>298.95</v>
      </c>
      <c r="H667" s="5">
        <v>7174.8</v>
      </c>
      <c r="I667">
        <v>4.4000000000000004</v>
      </c>
    </row>
    <row r="668" spans="1:9" x14ac:dyDescent="0.35">
      <c r="A668" t="s">
        <v>1005</v>
      </c>
      <c r="B668" s="1">
        <v>45680</v>
      </c>
      <c r="C668" t="s">
        <v>23</v>
      </c>
      <c r="D668" t="s">
        <v>12</v>
      </c>
      <c r="E668" t="s">
        <v>13</v>
      </c>
      <c r="F668">
        <v>10</v>
      </c>
      <c r="G668" s="6">
        <v>781.7</v>
      </c>
      <c r="H668" s="5">
        <v>7817</v>
      </c>
      <c r="I668">
        <v>4.7</v>
      </c>
    </row>
    <row r="669" spans="1:9" x14ac:dyDescent="0.35">
      <c r="A669" t="s">
        <v>1006</v>
      </c>
      <c r="B669" s="1">
        <v>45835</v>
      </c>
      <c r="C669" t="s">
        <v>23</v>
      </c>
      <c r="D669" t="s">
        <v>12</v>
      </c>
      <c r="E669" t="s">
        <v>13</v>
      </c>
      <c r="F669">
        <v>3</v>
      </c>
      <c r="G669" s="6">
        <v>951.08</v>
      </c>
      <c r="H669" s="5">
        <v>2853.24</v>
      </c>
      <c r="I669">
        <v>3.6</v>
      </c>
    </row>
    <row r="670" spans="1:9" x14ac:dyDescent="0.35">
      <c r="A670" t="s">
        <v>1007</v>
      </c>
      <c r="B670" s="1">
        <v>45847</v>
      </c>
      <c r="C670" t="s">
        <v>11</v>
      </c>
      <c r="D670" t="s">
        <v>19</v>
      </c>
      <c r="E670" t="s">
        <v>31</v>
      </c>
      <c r="F670">
        <v>8</v>
      </c>
      <c r="G670" s="6">
        <v>658.26</v>
      </c>
      <c r="H670" s="5">
        <v>5266.08</v>
      </c>
      <c r="I670">
        <v>3.7</v>
      </c>
    </row>
    <row r="671" spans="1:9" x14ac:dyDescent="0.35">
      <c r="A671" t="s">
        <v>1008</v>
      </c>
      <c r="B671" s="1">
        <v>45904</v>
      </c>
      <c r="C671" t="s">
        <v>23</v>
      </c>
      <c r="D671" t="s">
        <v>24</v>
      </c>
      <c r="E671" t="s">
        <v>25</v>
      </c>
      <c r="F671">
        <v>7</v>
      </c>
      <c r="G671" s="6">
        <v>444.92</v>
      </c>
      <c r="H671" s="5">
        <v>3114.44</v>
      </c>
      <c r="I671">
        <v>3.3</v>
      </c>
    </row>
    <row r="672" spans="1:9" x14ac:dyDescent="0.35">
      <c r="A672" t="s">
        <v>1009</v>
      </c>
      <c r="B672" s="1">
        <v>45793</v>
      </c>
      <c r="C672" t="s">
        <v>23</v>
      </c>
      <c r="D672" t="s">
        <v>19</v>
      </c>
      <c r="E672" t="s">
        <v>31</v>
      </c>
      <c r="F672">
        <v>22</v>
      </c>
      <c r="G672" s="6">
        <v>1035.42</v>
      </c>
      <c r="H672" s="5">
        <v>22779.24</v>
      </c>
      <c r="I672">
        <v>4.7</v>
      </c>
    </row>
    <row r="673" spans="1:9" x14ac:dyDescent="0.35">
      <c r="A673" t="s">
        <v>1010</v>
      </c>
      <c r="B673" s="1">
        <v>45711</v>
      </c>
      <c r="C673" t="s">
        <v>38</v>
      </c>
      <c r="D673" t="s">
        <v>24</v>
      </c>
      <c r="E673" t="s">
        <v>44</v>
      </c>
      <c r="F673">
        <v>14</v>
      </c>
      <c r="G673" s="6">
        <v>443.01</v>
      </c>
      <c r="H673" s="5">
        <v>6202.14</v>
      </c>
      <c r="I673">
        <v>4.7</v>
      </c>
    </row>
    <row r="674" spans="1:9" x14ac:dyDescent="0.35">
      <c r="A674" t="s">
        <v>1012</v>
      </c>
      <c r="B674" s="1">
        <v>45763</v>
      </c>
      <c r="C674" t="s">
        <v>38</v>
      </c>
      <c r="D674" t="s">
        <v>19</v>
      </c>
      <c r="E674" t="s">
        <v>31</v>
      </c>
      <c r="F674">
        <v>5</v>
      </c>
      <c r="G674" s="6">
        <v>1397.15</v>
      </c>
      <c r="H674" s="5">
        <v>6985.75</v>
      </c>
      <c r="I674">
        <v>4.5</v>
      </c>
    </row>
    <row r="675" spans="1:9" x14ac:dyDescent="0.35">
      <c r="A675" t="s">
        <v>1013</v>
      </c>
      <c r="B675" s="1">
        <v>45694</v>
      </c>
      <c r="C675" t="s">
        <v>16</v>
      </c>
      <c r="D675" t="s">
        <v>19</v>
      </c>
      <c r="E675" t="s">
        <v>31</v>
      </c>
      <c r="F675">
        <v>9</v>
      </c>
      <c r="G675" s="6">
        <v>810.29</v>
      </c>
      <c r="H675" s="5">
        <v>7292.61</v>
      </c>
      <c r="I675">
        <v>3.2</v>
      </c>
    </row>
    <row r="676" spans="1:9" x14ac:dyDescent="0.35">
      <c r="A676" t="s">
        <v>1014</v>
      </c>
      <c r="B676" s="1">
        <v>45692</v>
      </c>
      <c r="C676" t="s">
        <v>11</v>
      </c>
      <c r="D676" t="s">
        <v>24</v>
      </c>
      <c r="E676" t="s">
        <v>44</v>
      </c>
      <c r="F676">
        <v>3</v>
      </c>
      <c r="G676" s="6">
        <v>390.33</v>
      </c>
      <c r="H676" s="5">
        <v>1170.99</v>
      </c>
      <c r="I676">
        <v>3.9</v>
      </c>
    </row>
    <row r="677" spans="1:9" x14ac:dyDescent="0.35">
      <c r="A677" t="s">
        <v>1015</v>
      </c>
      <c r="B677" s="1">
        <v>45796</v>
      </c>
      <c r="C677" t="s">
        <v>23</v>
      </c>
      <c r="D677" t="s">
        <v>24</v>
      </c>
      <c r="E677" t="s">
        <v>44</v>
      </c>
      <c r="F677">
        <v>11</v>
      </c>
      <c r="G677" s="6">
        <v>16.82</v>
      </c>
      <c r="H677" s="5">
        <v>185.02</v>
      </c>
      <c r="I677">
        <v>3</v>
      </c>
    </row>
    <row r="678" spans="1:9" x14ac:dyDescent="0.35">
      <c r="A678" t="s">
        <v>1016</v>
      </c>
      <c r="B678" s="1">
        <v>45744</v>
      </c>
      <c r="C678" t="s">
        <v>11</v>
      </c>
      <c r="D678" t="s">
        <v>24</v>
      </c>
      <c r="E678" t="s">
        <v>25</v>
      </c>
      <c r="F678">
        <v>14</v>
      </c>
      <c r="G678" s="6">
        <v>165.43</v>
      </c>
      <c r="H678" s="5">
        <v>2316.02</v>
      </c>
      <c r="I678">
        <v>4.4000000000000004</v>
      </c>
    </row>
    <row r="679" spans="1:9" x14ac:dyDescent="0.35">
      <c r="A679" t="s">
        <v>1017</v>
      </c>
      <c r="B679" s="1">
        <v>45927</v>
      </c>
      <c r="C679" t="s">
        <v>11</v>
      </c>
      <c r="D679" t="s">
        <v>24</v>
      </c>
      <c r="E679" t="s">
        <v>44</v>
      </c>
      <c r="F679">
        <v>17</v>
      </c>
      <c r="G679" s="6">
        <v>35.69</v>
      </c>
      <c r="H679" s="5">
        <v>606.73</v>
      </c>
      <c r="I679">
        <v>4.9000000000000004</v>
      </c>
    </row>
    <row r="680" spans="1:9" x14ac:dyDescent="0.35">
      <c r="A680" t="s">
        <v>1018</v>
      </c>
      <c r="B680" s="1">
        <v>45930</v>
      </c>
      <c r="C680" t="s">
        <v>11</v>
      </c>
      <c r="D680" t="s">
        <v>19</v>
      </c>
      <c r="E680" t="s">
        <v>31</v>
      </c>
      <c r="F680">
        <v>18</v>
      </c>
      <c r="G680" s="6">
        <v>423.58</v>
      </c>
      <c r="H680" s="5">
        <v>7624.44</v>
      </c>
      <c r="I680">
        <v>3.7</v>
      </c>
    </row>
    <row r="681" spans="1:9" x14ac:dyDescent="0.35">
      <c r="A681" t="s">
        <v>1019</v>
      </c>
      <c r="B681" s="1">
        <v>45925</v>
      </c>
      <c r="C681" t="s">
        <v>16</v>
      </c>
      <c r="D681" t="s">
        <v>24</v>
      </c>
      <c r="E681" t="s">
        <v>69</v>
      </c>
      <c r="F681">
        <v>22</v>
      </c>
      <c r="G681" s="6">
        <v>1228.3399999999999</v>
      </c>
      <c r="H681" s="5">
        <v>27023.48</v>
      </c>
      <c r="I681">
        <v>4.7</v>
      </c>
    </row>
    <row r="682" spans="1:9" x14ac:dyDescent="0.35">
      <c r="A682" t="s">
        <v>1021</v>
      </c>
      <c r="B682" s="1">
        <v>46004</v>
      </c>
      <c r="C682" t="s">
        <v>11</v>
      </c>
      <c r="D682" t="s">
        <v>24</v>
      </c>
      <c r="E682" t="s">
        <v>44</v>
      </c>
      <c r="F682">
        <v>15</v>
      </c>
      <c r="G682" s="6">
        <v>101.48</v>
      </c>
      <c r="H682" s="5">
        <v>1522.2</v>
      </c>
      <c r="I682">
        <v>4.9000000000000004</v>
      </c>
    </row>
    <row r="683" spans="1:9" x14ac:dyDescent="0.35">
      <c r="A683" t="s">
        <v>1022</v>
      </c>
      <c r="B683" s="1">
        <v>45911</v>
      </c>
      <c r="C683" t="s">
        <v>16</v>
      </c>
      <c r="D683" t="s">
        <v>12</v>
      </c>
      <c r="E683" t="s">
        <v>13</v>
      </c>
      <c r="F683">
        <v>6</v>
      </c>
      <c r="G683" s="6">
        <v>105.27</v>
      </c>
      <c r="H683" s="5">
        <v>631.62</v>
      </c>
      <c r="I683">
        <v>4.5</v>
      </c>
    </row>
    <row r="684" spans="1:9" x14ac:dyDescent="0.35">
      <c r="A684" t="s">
        <v>1023</v>
      </c>
      <c r="B684" s="1">
        <v>45723</v>
      </c>
      <c r="C684" t="s">
        <v>11</v>
      </c>
      <c r="D684" t="s">
        <v>24</v>
      </c>
      <c r="E684" t="s">
        <v>44</v>
      </c>
      <c r="F684">
        <v>24</v>
      </c>
      <c r="G684" s="6">
        <v>381.77</v>
      </c>
      <c r="H684" s="5">
        <v>9162.48</v>
      </c>
      <c r="I684">
        <v>3.9</v>
      </c>
    </row>
    <row r="685" spans="1:9" x14ac:dyDescent="0.35">
      <c r="A685" t="s">
        <v>1024</v>
      </c>
      <c r="B685" s="1">
        <v>45897</v>
      </c>
      <c r="C685" t="s">
        <v>11</v>
      </c>
      <c r="D685" t="s">
        <v>19</v>
      </c>
      <c r="E685" t="s">
        <v>31</v>
      </c>
      <c r="F685">
        <v>15</v>
      </c>
      <c r="G685" s="6">
        <v>1060.3900000000001</v>
      </c>
      <c r="H685" s="5">
        <v>15905.85</v>
      </c>
      <c r="I685">
        <v>4.9000000000000004</v>
      </c>
    </row>
    <row r="686" spans="1:9" x14ac:dyDescent="0.35">
      <c r="A686" t="s">
        <v>1025</v>
      </c>
      <c r="B686" s="1">
        <v>45849</v>
      </c>
      <c r="C686" t="s">
        <v>38</v>
      </c>
      <c r="D686" t="s">
        <v>24</v>
      </c>
      <c r="E686" t="s">
        <v>69</v>
      </c>
      <c r="F686">
        <v>15</v>
      </c>
      <c r="G686" s="6">
        <v>355.47</v>
      </c>
      <c r="H686" s="5">
        <v>5332.05</v>
      </c>
      <c r="I686">
        <v>4.7</v>
      </c>
    </row>
    <row r="687" spans="1:9" x14ac:dyDescent="0.35">
      <c r="A687" t="s">
        <v>1026</v>
      </c>
      <c r="B687" s="1">
        <v>45737</v>
      </c>
      <c r="C687" t="s">
        <v>23</v>
      </c>
      <c r="D687" t="s">
        <v>24</v>
      </c>
      <c r="E687" t="s">
        <v>25</v>
      </c>
      <c r="F687">
        <v>7</v>
      </c>
      <c r="G687" s="6">
        <v>472.72</v>
      </c>
      <c r="H687" s="5">
        <v>3309.04</v>
      </c>
      <c r="I687">
        <v>4</v>
      </c>
    </row>
    <row r="688" spans="1:9" x14ac:dyDescent="0.35">
      <c r="A688" t="s">
        <v>1027</v>
      </c>
      <c r="B688" s="1">
        <v>45852</v>
      </c>
      <c r="C688" t="s">
        <v>38</v>
      </c>
      <c r="D688" t="s">
        <v>19</v>
      </c>
      <c r="E688" t="s">
        <v>31</v>
      </c>
      <c r="F688">
        <v>14</v>
      </c>
      <c r="G688" s="6">
        <v>264.04000000000002</v>
      </c>
      <c r="H688" s="5">
        <v>3696.56</v>
      </c>
      <c r="I688">
        <v>3.9</v>
      </c>
    </row>
    <row r="689" spans="1:9" x14ac:dyDescent="0.35">
      <c r="A689" t="s">
        <v>1028</v>
      </c>
      <c r="B689" s="1">
        <v>45798</v>
      </c>
      <c r="C689" t="s">
        <v>38</v>
      </c>
      <c r="D689" t="s">
        <v>12</v>
      </c>
      <c r="E689" t="s">
        <v>90</v>
      </c>
      <c r="F689">
        <v>20</v>
      </c>
      <c r="G689" s="6">
        <v>811.19</v>
      </c>
      <c r="H689" s="5">
        <v>16223.8</v>
      </c>
      <c r="I689">
        <v>4</v>
      </c>
    </row>
    <row r="690" spans="1:9" x14ac:dyDescent="0.35">
      <c r="A690" t="s">
        <v>1030</v>
      </c>
      <c r="B690" s="1">
        <v>45691</v>
      </c>
      <c r="C690" t="s">
        <v>11</v>
      </c>
      <c r="D690" t="s">
        <v>12</v>
      </c>
      <c r="E690" t="s">
        <v>90</v>
      </c>
      <c r="F690">
        <v>2</v>
      </c>
      <c r="G690" s="6">
        <v>880.38</v>
      </c>
      <c r="H690" s="5">
        <v>1760.76</v>
      </c>
      <c r="I690">
        <v>3.7</v>
      </c>
    </row>
    <row r="691" spans="1:9" x14ac:dyDescent="0.35">
      <c r="A691" t="s">
        <v>1031</v>
      </c>
      <c r="B691" s="1">
        <v>45805</v>
      </c>
      <c r="C691" t="s">
        <v>16</v>
      </c>
      <c r="D691" t="s">
        <v>19</v>
      </c>
      <c r="E691" t="s">
        <v>28</v>
      </c>
      <c r="F691">
        <v>1</v>
      </c>
      <c r="G691" s="6">
        <v>431.15</v>
      </c>
      <c r="H691" s="5">
        <v>431.15</v>
      </c>
      <c r="I691">
        <v>3.5</v>
      </c>
    </row>
    <row r="692" spans="1:9" x14ac:dyDescent="0.35">
      <c r="A692" t="s">
        <v>1032</v>
      </c>
      <c r="B692" s="1">
        <v>45672</v>
      </c>
      <c r="C692" t="s">
        <v>38</v>
      </c>
      <c r="D692" t="s">
        <v>24</v>
      </c>
      <c r="E692" t="s">
        <v>69</v>
      </c>
      <c r="F692">
        <v>13</v>
      </c>
      <c r="G692" s="6">
        <v>1372.65</v>
      </c>
      <c r="H692" s="5">
        <v>17844.45</v>
      </c>
      <c r="I692">
        <v>4.0999999999999996</v>
      </c>
    </row>
    <row r="693" spans="1:9" x14ac:dyDescent="0.35">
      <c r="A693" t="s">
        <v>1033</v>
      </c>
      <c r="B693" s="1">
        <v>45836</v>
      </c>
      <c r="C693" t="s">
        <v>11</v>
      </c>
      <c r="D693" t="s">
        <v>24</v>
      </c>
      <c r="E693" t="s">
        <v>25</v>
      </c>
      <c r="F693">
        <v>3</v>
      </c>
      <c r="G693" s="6">
        <v>1424.28</v>
      </c>
      <c r="H693" s="5">
        <v>4272.84</v>
      </c>
      <c r="I693">
        <v>4.3</v>
      </c>
    </row>
    <row r="694" spans="1:9" x14ac:dyDescent="0.35">
      <c r="A694" t="s">
        <v>1034</v>
      </c>
      <c r="B694" s="1">
        <v>45955</v>
      </c>
      <c r="C694" t="s">
        <v>16</v>
      </c>
      <c r="D694" t="s">
        <v>24</v>
      </c>
      <c r="E694" t="s">
        <v>25</v>
      </c>
      <c r="F694">
        <v>15</v>
      </c>
      <c r="G694" s="6">
        <v>1154.72</v>
      </c>
      <c r="H694" s="5">
        <v>17320.8</v>
      </c>
      <c r="I694">
        <v>4</v>
      </c>
    </row>
    <row r="695" spans="1:9" x14ac:dyDescent="0.35">
      <c r="A695" t="s">
        <v>1035</v>
      </c>
      <c r="B695" s="1">
        <v>45885</v>
      </c>
      <c r="C695" t="s">
        <v>23</v>
      </c>
      <c r="D695" t="s">
        <v>12</v>
      </c>
      <c r="E695" t="s">
        <v>13</v>
      </c>
      <c r="F695">
        <v>16</v>
      </c>
      <c r="G695" s="6">
        <v>750.63</v>
      </c>
      <c r="H695" s="5">
        <v>12010.08</v>
      </c>
      <c r="I695">
        <v>4.4000000000000004</v>
      </c>
    </row>
    <row r="696" spans="1:9" x14ac:dyDescent="0.35">
      <c r="A696" t="s">
        <v>1036</v>
      </c>
      <c r="B696" s="1">
        <v>45934</v>
      </c>
      <c r="C696" t="s">
        <v>23</v>
      </c>
      <c r="D696" t="s">
        <v>24</v>
      </c>
      <c r="E696" t="s">
        <v>44</v>
      </c>
      <c r="F696">
        <v>13</v>
      </c>
      <c r="G696" s="6">
        <v>1125.93</v>
      </c>
      <c r="H696" s="5">
        <v>14637.09</v>
      </c>
      <c r="I696">
        <v>4.5999999999999996</v>
      </c>
    </row>
    <row r="697" spans="1:9" x14ac:dyDescent="0.35">
      <c r="A697" t="s">
        <v>1037</v>
      </c>
      <c r="B697" s="1">
        <v>45761</v>
      </c>
      <c r="C697" t="s">
        <v>38</v>
      </c>
      <c r="D697" t="s">
        <v>12</v>
      </c>
      <c r="E697" t="s">
        <v>17</v>
      </c>
      <c r="F697">
        <v>4</v>
      </c>
      <c r="G697" s="6">
        <v>679.22</v>
      </c>
      <c r="H697" s="5">
        <v>2716.88</v>
      </c>
      <c r="I697">
        <v>4.3</v>
      </c>
    </row>
    <row r="698" spans="1:9" x14ac:dyDescent="0.35">
      <c r="A698" t="s">
        <v>1039</v>
      </c>
      <c r="B698" s="1">
        <v>45979</v>
      </c>
      <c r="C698" t="s">
        <v>23</v>
      </c>
      <c r="D698" t="s">
        <v>12</v>
      </c>
      <c r="E698" t="s">
        <v>17</v>
      </c>
      <c r="F698">
        <v>25</v>
      </c>
      <c r="G698" s="6">
        <v>376.21</v>
      </c>
      <c r="H698" s="5">
        <v>9405.25</v>
      </c>
      <c r="I698">
        <v>3.4</v>
      </c>
    </row>
    <row r="699" spans="1:9" x14ac:dyDescent="0.35">
      <c r="A699" t="s">
        <v>1040</v>
      </c>
      <c r="B699" s="1">
        <v>45685</v>
      </c>
      <c r="C699" t="s">
        <v>16</v>
      </c>
      <c r="D699" t="s">
        <v>19</v>
      </c>
      <c r="E699" t="s">
        <v>28</v>
      </c>
      <c r="F699">
        <v>18</v>
      </c>
      <c r="G699" s="6">
        <v>1447.16</v>
      </c>
      <c r="H699" s="5">
        <v>26048.880000000001</v>
      </c>
      <c r="I699">
        <v>3.6</v>
      </c>
    </row>
    <row r="700" spans="1:9" x14ac:dyDescent="0.35">
      <c r="A700" t="s">
        <v>1041</v>
      </c>
      <c r="B700" s="1">
        <v>45704</v>
      </c>
      <c r="C700" t="s">
        <v>38</v>
      </c>
      <c r="D700" t="s">
        <v>24</v>
      </c>
      <c r="E700" t="s">
        <v>69</v>
      </c>
      <c r="F700">
        <v>15</v>
      </c>
      <c r="G700" s="6">
        <v>75.16</v>
      </c>
      <c r="H700" s="5">
        <v>1127.4000000000001</v>
      </c>
      <c r="I700">
        <v>3.6</v>
      </c>
    </row>
    <row r="701" spans="1:9" x14ac:dyDescent="0.35">
      <c r="A701" t="s">
        <v>1042</v>
      </c>
      <c r="B701" s="1">
        <v>45808</v>
      </c>
      <c r="C701" t="s">
        <v>11</v>
      </c>
      <c r="D701" t="s">
        <v>24</v>
      </c>
      <c r="E701" t="s">
        <v>69</v>
      </c>
      <c r="F701">
        <v>12</v>
      </c>
      <c r="G701" s="6">
        <v>1499.94</v>
      </c>
      <c r="H701" s="5">
        <v>17999.28</v>
      </c>
      <c r="I701">
        <v>3.9</v>
      </c>
    </row>
    <row r="702" spans="1:9" x14ac:dyDescent="0.35">
      <c r="A702" t="s">
        <v>1043</v>
      </c>
      <c r="B702" s="1">
        <v>45764</v>
      </c>
      <c r="C702" t="s">
        <v>11</v>
      </c>
      <c r="D702" t="s">
        <v>24</v>
      </c>
      <c r="E702" t="s">
        <v>25</v>
      </c>
      <c r="F702">
        <v>17</v>
      </c>
      <c r="G702" s="6">
        <v>659.7</v>
      </c>
      <c r="H702" s="5">
        <v>11214.9</v>
      </c>
      <c r="I702">
        <v>3.7</v>
      </c>
    </row>
    <row r="703" spans="1:9" x14ac:dyDescent="0.35">
      <c r="A703" t="s">
        <v>1044</v>
      </c>
      <c r="B703" s="1">
        <v>45911</v>
      </c>
      <c r="C703" t="s">
        <v>11</v>
      </c>
      <c r="D703" t="s">
        <v>12</v>
      </c>
      <c r="E703" t="s">
        <v>90</v>
      </c>
      <c r="F703">
        <v>25</v>
      </c>
      <c r="G703" s="6">
        <v>524.58000000000004</v>
      </c>
      <c r="H703" s="5">
        <v>13114.5</v>
      </c>
      <c r="I703">
        <v>3.8</v>
      </c>
    </row>
    <row r="704" spans="1:9" x14ac:dyDescent="0.35">
      <c r="A704" t="s">
        <v>1045</v>
      </c>
      <c r="B704" s="1">
        <v>45903</v>
      </c>
      <c r="C704" t="s">
        <v>38</v>
      </c>
      <c r="D704" t="s">
        <v>24</v>
      </c>
      <c r="E704" t="s">
        <v>25</v>
      </c>
      <c r="F704">
        <v>5</v>
      </c>
      <c r="G704" s="6">
        <v>1193.28</v>
      </c>
      <c r="H704" s="5">
        <v>5966.4</v>
      </c>
      <c r="I704">
        <v>4.5</v>
      </c>
    </row>
    <row r="705" spans="1:9" x14ac:dyDescent="0.35">
      <c r="A705" t="s">
        <v>1046</v>
      </c>
      <c r="B705" s="1">
        <v>45983</v>
      </c>
      <c r="C705" t="s">
        <v>38</v>
      </c>
      <c r="D705" t="s">
        <v>12</v>
      </c>
      <c r="E705" t="s">
        <v>13</v>
      </c>
      <c r="F705">
        <v>8</v>
      </c>
      <c r="G705" s="6">
        <v>1352.35</v>
      </c>
      <c r="H705" s="5">
        <v>10818.8</v>
      </c>
      <c r="I705">
        <v>4.9000000000000004</v>
      </c>
    </row>
    <row r="706" spans="1:9" x14ac:dyDescent="0.35">
      <c r="A706" t="s">
        <v>1047</v>
      </c>
      <c r="B706" s="1">
        <v>45884</v>
      </c>
      <c r="C706" t="s">
        <v>11</v>
      </c>
      <c r="D706" t="s">
        <v>24</v>
      </c>
      <c r="E706" t="s">
        <v>44</v>
      </c>
      <c r="F706">
        <v>13</v>
      </c>
      <c r="G706" s="6">
        <v>618.69000000000005</v>
      </c>
      <c r="H706" s="5">
        <v>8042.97</v>
      </c>
      <c r="I706">
        <v>3.3</v>
      </c>
    </row>
    <row r="707" spans="1:9" x14ac:dyDescent="0.35">
      <c r="A707" t="s">
        <v>1048</v>
      </c>
      <c r="B707" s="1">
        <v>45932</v>
      </c>
      <c r="C707" t="s">
        <v>38</v>
      </c>
      <c r="D707" t="s">
        <v>19</v>
      </c>
      <c r="E707" t="s">
        <v>28</v>
      </c>
      <c r="F707">
        <v>18</v>
      </c>
      <c r="G707" s="6">
        <v>262.23</v>
      </c>
      <c r="H707" s="5">
        <v>4720.1400000000003</v>
      </c>
      <c r="I707">
        <v>3.1</v>
      </c>
    </row>
    <row r="708" spans="1:9" x14ac:dyDescent="0.35">
      <c r="A708" t="s">
        <v>1049</v>
      </c>
      <c r="B708" s="1">
        <v>45828</v>
      </c>
      <c r="C708" t="s">
        <v>38</v>
      </c>
      <c r="D708" t="s">
        <v>12</v>
      </c>
      <c r="E708" t="s">
        <v>17</v>
      </c>
      <c r="F708">
        <v>15</v>
      </c>
      <c r="G708" s="6">
        <v>740.57</v>
      </c>
      <c r="H708" s="5">
        <v>11108.55</v>
      </c>
      <c r="I708">
        <v>3</v>
      </c>
    </row>
    <row r="709" spans="1:9" x14ac:dyDescent="0.35">
      <c r="A709" t="s">
        <v>1050</v>
      </c>
      <c r="B709" s="1">
        <v>45880</v>
      </c>
      <c r="C709" t="s">
        <v>11</v>
      </c>
      <c r="D709" t="s">
        <v>19</v>
      </c>
      <c r="E709" t="s">
        <v>28</v>
      </c>
      <c r="F709">
        <v>16</v>
      </c>
      <c r="G709" s="6">
        <v>177.05</v>
      </c>
      <c r="H709" s="5">
        <v>2832.8</v>
      </c>
      <c r="I709">
        <v>3.3</v>
      </c>
    </row>
    <row r="710" spans="1:9" x14ac:dyDescent="0.35">
      <c r="A710" t="s">
        <v>1051</v>
      </c>
      <c r="B710" s="1">
        <v>45820</v>
      </c>
      <c r="C710" t="s">
        <v>38</v>
      </c>
      <c r="D710" t="s">
        <v>24</v>
      </c>
      <c r="E710" t="s">
        <v>44</v>
      </c>
      <c r="F710">
        <v>4</v>
      </c>
      <c r="G710" s="6">
        <v>382.03</v>
      </c>
      <c r="H710" s="5">
        <v>1528.12</v>
      </c>
      <c r="I710">
        <v>4.9000000000000004</v>
      </c>
    </row>
    <row r="711" spans="1:9" x14ac:dyDescent="0.35">
      <c r="A711" t="s">
        <v>1052</v>
      </c>
      <c r="B711" s="1">
        <v>45813</v>
      </c>
      <c r="C711" t="s">
        <v>11</v>
      </c>
      <c r="D711" t="s">
        <v>12</v>
      </c>
      <c r="E711" t="s">
        <v>17</v>
      </c>
      <c r="F711">
        <v>8</v>
      </c>
      <c r="G711" s="6">
        <v>791.79</v>
      </c>
      <c r="H711" s="5">
        <v>6334.32</v>
      </c>
      <c r="I711">
        <v>3.5</v>
      </c>
    </row>
    <row r="712" spans="1:9" x14ac:dyDescent="0.35">
      <c r="A712" t="s">
        <v>1053</v>
      </c>
      <c r="B712" s="1">
        <v>45669</v>
      </c>
      <c r="C712" t="s">
        <v>16</v>
      </c>
      <c r="D712" t="s">
        <v>24</v>
      </c>
      <c r="E712" t="s">
        <v>44</v>
      </c>
      <c r="F712">
        <v>13</v>
      </c>
      <c r="G712" s="6">
        <v>905.33</v>
      </c>
      <c r="H712" s="5">
        <v>11769.29</v>
      </c>
      <c r="I712">
        <v>3.5</v>
      </c>
    </row>
    <row r="713" spans="1:9" x14ac:dyDescent="0.35">
      <c r="A713" t="s">
        <v>1054</v>
      </c>
      <c r="B713" s="1">
        <v>45756</v>
      </c>
      <c r="C713" t="s">
        <v>11</v>
      </c>
      <c r="D713" t="s">
        <v>24</v>
      </c>
      <c r="E713" t="s">
        <v>44</v>
      </c>
      <c r="F713">
        <v>14</v>
      </c>
      <c r="G713" s="6">
        <v>952.48</v>
      </c>
      <c r="H713" s="5">
        <v>13334.72</v>
      </c>
      <c r="I713">
        <v>4</v>
      </c>
    </row>
    <row r="714" spans="1:9" x14ac:dyDescent="0.35">
      <c r="A714" t="s">
        <v>1055</v>
      </c>
      <c r="B714" s="1">
        <v>45806</v>
      </c>
      <c r="C714" t="s">
        <v>16</v>
      </c>
      <c r="D714" t="s">
        <v>19</v>
      </c>
      <c r="E714" t="s">
        <v>28</v>
      </c>
      <c r="F714">
        <v>16</v>
      </c>
      <c r="G714" s="6">
        <v>145.52000000000001</v>
      </c>
      <c r="H714" s="5">
        <v>2328.3200000000002</v>
      </c>
      <c r="I714">
        <v>4.9000000000000004</v>
      </c>
    </row>
    <row r="715" spans="1:9" x14ac:dyDescent="0.35">
      <c r="A715" t="s">
        <v>1056</v>
      </c>
      <c r="B715" s="1">
        <v>45996</v>
      </c>
      <c r="C715" t="s">
        <v>16</v>
      </c>
      <c r="D715" t="s">
        <v>24</v>
      </c>
      <c r="E715" t="s">
        <v>69</v>
      </c>
      <c r="F715">
        <v>7</v>
      </c>
      <c r="G715" s="6">
        <v>396.83</v>
      </c>
      <c r="H715" s="5">
        <v>2777.81</v>
      </c>
      <c r="I715">
        <v>3.8</v>
      </c>
    </row>
    <row r="716" spans="1:9" x14ac:dyDescent="0.35">
      <c r="A716" t="s">
        <v>1057</v>
      </c>
      <c r="B716" s="1">
        <v>45776</v>
      </c>
      <c r="C716" t="s">
        <v>11</v>
      </c>
      <c r="D716" t="s">
        <v>12</v>
      </c>
      <c r="E716" t="s">
        <v>90</v>
      </c>
      <c r="F716">
        <v>4</v>
      </c>
      <c r="G716" s="6">
        <v>425.62</v>
      </c>
      <c r="H716" s="5">
        <v>1702.48</v>
      </c>
      <c r="I716">
        <v>3.6</v>
      </c>
    </row>
    <row r="717" spans="1:9" x14ac:dyDescent="0.35">
      <c r="A717" t="s">
        <v>1058</v>
      </c>
      <c r="B717" s="1">
        <v>45843</v>
      </c>
      <c r="C717" t="s">
        <v>23</v>
      </c>
      <c r="D717" t="s">
        <v>24</v>
      </c>
      <c r="E717" t="s">
        <v>25</v>
      </c>
      <c r="F717">
        <v>1</v>
      </c>
      <c r="G717" s="6">
        <v>931.4</v>
      </c>
      <c r="H717" s="5">
        <v>931.4</v>
      </c>
      <c r="I717">
        <v>4</v>
      </c>
    </row>
    <row r="718" spans="1:9" x14ac:dyDescent="0.35">
      <c r="A718" t="s">
        <v>1059</v>
      </c>
      <c r="B718" s="1">
        <v>45756</v>
      </c>
      <c r="C718" t="s">
        <v>38</v>
      </c>
      <c r="D718" t="s">
        <v>12</v>
      </c>
      <c r="E718" t="s">
        <v>13</v>
      </c>
      <c r="F718">
        <v>6</v>
      </c>
      <c r="G718" s="6">
        <v>598.66999999999996</v>
      </c>
      <c r="H718" s="5">
        <v>3592.02</v>
      </c>
      <c r="I718">
        <v>4.8</v>
      </c>
    </row>
    <row r="719" spans="1:9" x14ac:dyDescent="0.35">
      <c r="A719" t="s">
        <v>1060</v>
      </c>
      <c r="B719" s="1">
        <v>45665</v>
      </c>
      <c r="C719" t="s">
        <v>11</v>
      </c>
      <c r="D719" t="s">
        <v>19</v>
      </c>
      <c r="E719" t="s">
        <v>28</v>
      </c>
      <c r="F719">
        <v>8</v>
      </c>
      <c r="G719" s="6">
        <v>378.98</v>
      </c>
      <c r="H719" s="5">
        <v>3031.84</v>
      </c>
      <c r="I719">
        <v>3.8</v>
      </c>
    </row>
    <row r="720" spans="1:9" x14ac:dyDescent="0.35">
      <c r="A720" t="s">
        <v>1061</v>
      </c>
      <c r="B720" s="1">
        <v>45768</v>
      </c>
      <c r="C720" t="s">
        <v>16</v>
      </c>
      <c r="D720" t="s">
        <v>12</v>
      </c>
      <c r="E720" t="s">
        <v>13</v>
      </c>
      <c r="F720">
        <v>10</v>
      </c>
      <c r="G720" s="6">
        <v>103.73</v>
      </c>
      <c r="H720" s="5">
        <v>1037.3</v>
      </c>
      <c r="I720">
        <v>3.2</v>
      </c>
    </row>
    <row r="721" spans="1:9" x14ac:dyDescent="0.35">
      <c r="A721" t="s">
        <v>1062</v>
      </c>
      <c r="B721" s="1">
        <v>46009</v>
      </c>
      <c r="C721" t="s">
        <v>38</v>
      </c>
      <c r="D721" t="s">
        <v>24</v>
      </c>
      <c r="E721" t="s">
        <v>44</v>
      </c>
      <c r="F721">
        <v>1</v>
      </c>
      <c r="G721" s="6">
        <v>1453.07</v>
      </c>
      <c r="H721" s="5">
        <v>1453.07</v>
      </c>
      <c r="I721">
        <v>4.5999999999999996</v>
      </c>
    </row>
    <row r="722" spans="1:9" x14ac:dyDescent="0.35">
      <c r="A722" t="s">
        <v>1063</v>
      </c>
      <c r="B722" s="1">
        <v>45999</v>
      </c>
      <c r="C722" t="s">
        <v>11</v>
      </c>
      <c r="D722" t="s">
        <v>12</v>
      </c>
      <c r="E722" t="s">
        <v>17</v>
      </c>
      <c r="F722">
        <v>15</v>
      </c>
      <c r="G722" s="6">
        <v>827.18</v>
      </c>
      <c r="H722" s="5">
        <v>12407.7</v>
      </c>
      <c r="I722">
        <v>3.1</v>
      </c>
    </row>
    <row r="723" spans="1:9" x14ac:dyDescent="0.35">
      <c r="A723" t="s">
        <v>1064</v>
      </c>
      <c r="B723" s="1">
        <v>45693</v>
      </c>
      <c r="C723" t="s">
        <v>16</v>
      </c>
      <c r="D723" t="s">
        <v>12</v>
      </c>
      <c r="E723" t="s">
        <v>90</v>
      </c>
      <c r="F723">
        <v>16</v>
      </c>
      <c r="G723" s="6">
        <v>1423.29</v>
      </c>
      <c r="H723" s="5">
        <v>22772.639999999999</v>
      </c>
      <c r="I723">
        <v>4.5999999999999996</v>
      </c>
    </row>
    <row r="724" spans="1:9" x14ac:dyDescent="0.35">
      <c r="A724" t="s">
        <v>1065</v>
      </c>
      <c r="B724" s="1">
        <v>45842</v>
      </c>
      <c r="C724" t="s">
        <v>11</v>
      </c>
      <c r="D724" t="s">
        <v>19</v>
      </c>
      <c r="E724" t="s">
        <v>20</v>
      </c>
      <c r="F724">
        <v>11</v>
      </c>
      <c r="G724" s="6">
        <v>341.82</v>
      </c>
      <c r="H724" s="5">
        <v>3760.02</v>
      </c>
      <c r="I724">
        <v>4.5</v>
      </c>
    </row>
    <row r="725" spans="1:9" x14ac:dyDescent="0.35">
      <c r="A725" t="s">
        <v>1066</v>
      </c>
      <c r="B725" s="1">
        <v>45669</v>
      </c>
      <c r="C725" t="s">
        <v>23</v>
      </c>
      <c r="D725" t="s">
        <v>24</v>
      </c>
      <c r="E725" t="s">
        <v>69</v>
      </c>
      <c r="F725">
        <v>10</v>
      </c>
      <c r="G725" s="6">
        <v>717.85</v>
      </c>
      <c r="H725" s="5">
        <v>7178.5</v>
      </c>
      <c r="I725">
        <v>4.5</v>
      </c>
    </row>
    <row r="726" spans="1:9" x14ac:dyDescent="0.35">
      <c r="A726" t="s">
        <v>1067</v>
      </c>
      <c r="B726" s="1">
        <v>45985</v>
      </c>
      <c r="C726" t="s">
        <v>16</v>
      </c>
      <c r="D726" t="s">
        <v>24</v>
      </c>
      <c r="E726" t="s">
        <v>44</v>
      </c>
      <c r="F726">
        <v>18</v>
      </c>
      <c r="G726" s="6">
        <v>1323.14</v>
      </c>
      <c r="H726" s="5">
        <v>23816.52</v>
      </c>
      <c r="I726">
        <v>4.5999999999999996</v>
      </c>
    </row>
    <row r="727" spans="1:9" x14ac:dyDescent="0.35">
      <c r="A727" t="s">
        <v>1068</v>
      </c>
      <c r="B727" s="1">
        <v>45955</v>
      </c>
      <c r="C727" t="s">
        <v>11</v>
      </c>
      <c r="D727" t="s">
        <v>12</v>
      </c>
      <c r="E727" t="s">
        <v>17</v>
      </c>
      <c r="F727">
        <v>9</v>
      </c>
      <c r="G727" s="6">
        <v>1495.34</v>
      </c>
      <c r="H727" s="5">
        <v>13458.06</v>
      </c>
      <c r="I727">
        <v>4.3</v>
      </c>
    </row>
    <row r="728" spans="1:9" x14ac:dyDescent="0.35">
      <c r="A728" t="s">
        <v>1069</v>
      </c>
      <c r="B728" s="1">
        <v>45988</v>
      </c>
      <c r="C728" t="s">
        <v>23</v>
      </c>
      <c r="D728" t="s">
        <v>24</v>
      </c>
      <c r="E728" t="s">
        <v>25</v>
      </c>
      <c r="F728">
        <v>20</v>
      </c>
      <c r="G728" s="6">
        <v>1326.2</v>
      </c>
      <c r="H728" s="5">
        <v>26524</v>
      </c>
      <c r="I728">
        <v>4</v>
      </c>
    </row>
    <row r="729" spans="1:9" x14ac:dyDescent="0.35">
      <c r="A729" t="s">
        <v>1070</v>
      </c>
      <c r="B729" s="1">
        <v>45912</v>
      </c>
      <c r="C729" t="s">
        <v>23</v>
      </c>
      <c r="D729" t="s">
        <v>12</v>
      </c>
      <c r="E729" t="s">
        <v>90</v>
      </c>
      <c r="F729">
        <v>16</v>
      </c>
      <c r="G729" s="6">
        <v>1080.73</v>
      </c>
      <c r="H729" s="5">
        <v>17291.68</v>
      </c>
      <c r="I729">
        <v>3.9</v>
      </c>
    </row>
    <row r="730" spans="1:9" x14ac:dyDescent="0.35">
      <c r="A730" t="s">
        <v>1071</v>
      </c>
      <c r="B730" s="1">
        <v>45997</v>
      </c>
      <c r="C730" t="s">
        <v>16</v>
      </c>
      <c r="D730" t="s">
        <v>24</v>
      </c>
      <c r="E730" t="s">
        <v>69</v>
      </c>
      <c r="F730">
        <v>1</v>
      </c>
      <c r="G730" s="6">
        <v>856.66</v>
      </c>
      <c r="H730" s="5">
        <v>856.66</v>
      </c>
      <c r="I730">
        <v>3.2</v>
      </c>
    </row>
    <row r="731" spans="1:9" x14ac:dyDescent="0.35">
      <c r="A731" t="s">
        <v>1072</v>
      </c>
      <c r="B731" s="1">
        <v>45867</v>
      </c>
      <c r="C731" t="s">
        <v>11</v>
      </c>
      <c r="D731" t="s">
        <v>19</v>
      </c>
      <c r="E731" t="s">
        <v>20</v>
      </c>
      <c r="F731">
        <v>19</v>
      </c>
      <c r="G731" s="6">
        <v>504.06</v>
      </c>
      <c r="H731" s="5">
        <v>9577.14</v>
      </c>
      <c r="I731">
        <v>4.8</v>
      </c>
    </row>
    <row r="732" spans="1:9" x14ac:dyDescent="0.35">
      <c r="A732" t="s">
        <v>1073</v>
      </c>
      <c r="B732" s="1">
        <v>45991</v>
      </c>
      <c r="C732" t="s">
        <v>38</v>
      </c>
      <c r="D732" t="s">
        <v>19</v>
      </c>
      <c r="E732" t="s">
        <v>28</v>
      </c>
      <c r="F732">
        <v>17</v>
      </c>
      <c r="G732" s="6">
        <v>808.87</v>
      </c>
      <c r="H732" s="5">
        <v>13750.79</v>
      </c>
      <c r="I732">
        <v>4.7</v>
      </c>
    </row>
    <row r="733" spans="1:9" x14ac:dyDescent="0.35">
      <c r="A733" t="s">
        <v>1074</v>
      </c>
      <c r="B733" s="1">
        <v>45697</v>
      </c>
      <c r="C733" t="s">
        <v>38</v>
      </c>
      <c r="D733" t="s">
        <v>19</v>
      </c>
      <c r="E733" t="s">
        <v>31</v>
      </c>
      <c r="F733">
        <v>10</v>
      </c>
      <c r="G733" s="6">
        <v>594.89</v>
      </c>
      <c r="H733" s="5">
        <v>5948.9</v>
      </c>
      <c r="I733">
        <v>3.7</v>
      </c>
    </row>
    <row r="734" spans="1:9" x14ac:dyDescent="0.35">
      <c r="A734" t="s">
        <v>1075</v>
      </c>
      <c r="B734" s="1">
        <v>45806</v>
      </c>
      <c r="C734" t="s">
        <v>11</v>
      </c>
      <c r="D734" t="s">
        <v>24</v>
      </c>
      <c r="E734" t="s">
        <v>69</v>
      </c>
      <c r="F734">
        <v>16</v>
      </c>
      <c r="G734" s="6">
        <v>400.29</v>
      </c>
      <c r="H734" s="5">
        <v>6404.64</v>
      </c>
      <c r="I734">
        <v>3.8</v>
      </c>
    </row>
    <row r="735" spans="1:9" x14ac:dyDescent="0.35">
      <c r="A735" t="s">
        <v>1076</v>
      </c>
      <c r="B735" s="1">
        <v>45980</v>
      </c>
      <c r="C735" t="s">
        <v>16</v>
      </c>
      <c r="D735" t="s">
        <v>19</v>
      </c>
      <c r="E735" t="s">
        <v>31</v>
      </c>
      <c r="F735">
        <v>23</v>
      </c>
      <c r="G735" s="6">
        <v>1469.68</v>
      </c>
      <c r="H735" s="5">
        <v>33802.639999999999</v>
      </c>
      <c r="I735">
        <v>3.3</v>
      </c>
    </row>
    <row r="736" spans="1:9" x14ac:dyDescent="0.35">
      <c r="A736" t="s">
        <v>1077</v>
      </c>
      <c r="B736" s="1">
        <v>45963</v>
      </c>
      <c r="C736" t="s">
        <v>11</v>
      </c>
      <c r="D736" t="s">
        <v>24</v>
      </c>
      <c r="E736" t="s">
        <v>69</v>
      </c>
      <c r="F736">
        <v>12</v>
      </c>
      <c r="G736" s="6">
        <v>797.11</v>
      </c>
      <c r="H736" s="5">
        <v>9565.32</v>
      </c>
      <c r="I736">
        <v>4.5999999999999996</v>
      </c>
    </row>
    <row r="737" spans="1:9" x14ac:dyDescent="0.35">
      <c r="A737" t="s">
        <v>1078</v>
      </c>
      <c r="B737" s="1">
        <v>45747</v>
      </c>
      <c r="C737" t="s">
        <v>38</v>
      </c>
      <c r="D737" t="s">
        <v>12</v>
      </c>
      <c r="E737" t="s">
        <v>90</v>
      </c>
      <c r="F737">
        <v>10</v>
      </c>
      <c r="G737" s="6">
        <v>946.22</v>
      </c>
      <c r="H737" s="5">
        <v>9462.2000000000007</v>
      </c>
      <c r="I737">
        <v>4.7</v>
      </c>
    </row>
    <row r="738" spans="1:9" x14ac:dyDescent="0.35">
      <c r="A738" t="s">
        <v>1079</v>
      </c>
      <c r="B738" s="1">
        <v>45737</v>
      </c>
      <c r="C738" t="s">
        <v>23</v>
      </c>
      <c r="D738" t="s">
        <v>12</v>
      </c>
      <c r="E738" t="s">
        <v>90</v>
      </c>
      <c r="F738">
        <v>4</v>
      </c>
      <c r="G738" s="6">
        <v>654.45000000000005</v>
      </c>
      <c r="H738" s="5">
        <v>2617.8000000000002</v>
      </c>
      <c r="I738">
        <v>5</v>
      </c>
    </row>
    <row r="739" spans="1:9" x14ac:dyDescent="0.35">
      <c r="A739" t="s">
        <v>1080</v>
      </c>
      <c r="B739" s="1">
        <v>45658</v>
      </c>
      <c r="C739" t="s">
        <v>23</v>
      </c>
      <c r="D739" t="s">
        <v>12</v>
      </c>
      <c r="E739" t="s">
        <v>13</v>
      </c>
      <c r="F739">
        <v>10</v>
      </c>
      <c r="G739" s="6">
        <v>573.39</v>
      </c>
      <c r="H739" s="5">
        <v>5733.9</v>
      </c>
      <c r="I739">
        <v>4.4000000000000004</v>
      </c>
    </row>
    <row r="740" spans="1:9" x14ac:dyDescent="0.35">
      <c r="A740" t="s">
        <v>1082</v>
      </c>
      <c r="B740" s="1">
        <v>45683</v>
      </c>
      <c r="C740" t="s">
        <v>16</v>
      </c>
      <c r="D740" t="s">
        <v>12</v>
      </c>
      <c r="E740" t="s">
        <v>17</v>
      </c>
      <c r="F740">
        <v>10</v>
      </c>
      <c r="G740" s="6">
        <v>258</v>
      </c>
      <c r="H740" s="5">
        <v>2580</v>
      </c>
      <c r="I740">
        <v>3.5</v>
      </c>
    </row>
    <row r="741" spans="1:9" x14ac:dyDescent="0.35">
      <c r="A741" t="s">
        <v>1083</v>
      </c>
      <c r="B741" s="1">
        <v>45701</v>
      </c>
      <c r="C741" t="s">
        <v>23</v>
      </c>
      <c r="D741" t="s">
        <v>24</v>
      </c>
      <c r="E741" t="s">
        <v>25</v>
      </c>
      <c r="F741">
        <v>22</v>
      </c>
      <c r="G741" s="6">
        <v>550</v>
      </c>
      <c r="H741" s="5">
        <v>12100</v>
      </c>
      <c r="I741">
        <v>3.8</v>
      </c>
    </row>
    <row r="742" spans="1:9" x14ac:dyDescent="0.35">
      <c r="A742" t="s">
        <v>1084</v>
      </c>
      <c r="B742" s="1">
        <v>45861</v>
      </c>
      <c r="C742" t="s">
        <v>11</v>
      </c>
      <c r="D742" t="s">
        <v>12</v>
      </c>
      <c r="E742" t="s">
        <v>90</v>
      </c>
      <c r="F742">
        <v>18</v>
      </c>
      <c r="G742" s="6">
        <v>1226.2</v>
      </c>
      <c r="H742" s="5">
        <v>22071.599999999999</v>
      </c>
      <c r="I742">
        <v>3.7</v>
      </c>
    </row>
    <row r="743" spans="1:9" x14ac:dyDescent="0.35">
      <c r="A743" t="s">
        <v>1085</v>
      </c>
      <c r="B743" s="1">
        <v>45759</v>
      </c>
      <c r="C743" t="s">
        <v>23</v>
      </c>
      <c r="D743" t="s">
        <v>12</v>
      </c>
      <c r="E743" t="s">
        <v>90</v>
      </c>
      <c r="F743">
        <v>17</v>
      </c>
      <c r="G743" s="6">
        <v>1445</v>
      </c>
      <c r="H743" s="5">
        <v>24565</v>
      </c>
      <c r="I743">
        <v>4</v>
      </c>
    </row>
    <row r="744" spans="1:9" x14ac:dyDescent="0.35">
      <c r="A744" t="s">
        <v>1086</v>
      </c>
      <c r="B744" s="1">
        <v>45892</v>
      </c>
      <c r="C744" t="s">
        <v>38</v>
      </c>
      <c r="D744" t="s">
        <v>24</v>
      </c>
      <c r="E744" t="s">
        <v>44</v>
      </c>
      <c r="F744">
        <v>14</v>
      </c>
      <c r="G744" s="6">
        <v>1000.59</v>
      </c>
      <c r="H744" s="5">
        <v>14008.26</v>
      </c>
      <c r="I744">
        <v>4.7</v>
      </c>
    </row>
    <row r="745" spans="1:9" x14ac:dyDescent="0.35">
      <c r="A745" t="s">
        <v>1087</v>
      </c>
      <c r="B745" s="1">
        <v>45732</v>
      </c>
      <c r="C745" t="s">
        <v>38</v>
      </c>
      <c r="D745" t="s">
        <v>19</v>
      </c>
      <c r="E745" t="s">
        <v>31</v>
      </c>
      <c r="F745">
        <v>17</v>
      </c>
      <c r="G745" s="6">
        <v>331.76</v>
      </c>
      <c r="H745" s="5">
        <v>5639.92</v>
      </c>
      <c r="I745">
        <v>4.7</v>
      </c>
    </row>
    <row r="746" spans="1:9" x14ac:dyDescent="0.35">
      <c r="A746" t="s">
        <v>1088</v>
      </c>
      <c r="B746" s="1">
        <v>45820</v>
      </c>
      <c r="C746" t="s">
        <v>38</v>
      </c>
      <c r="D746" t="s">
        <v>19</v>
      </c>
      <c r="E746" t="s">
        <v>31</v>
      </c>
      <c r="F746">
        <v>16</v>
      </c>
      <c r="G746" s="6">
        <v>35.03</v>
      </c>
      <c r="H746" s="5">
        <v>560.48</v>
      </c>
      <c r="I746">
        <v>4.0999999999999996</v>
      </c>
    </row>
    <row r="747" spans="1:9" x14ac:dyDescent="0.35">
      <c r="A747" t="s">
        <v>1089</v>
      </c>
      <c r="B747" s="1">
        <v>46020</v>
      </c>
      <c r="C747" t="s">
        <v>23</v>
      </c>
      <c r="D747" t="s">
        <v>12</v>
      </c>
      <c r="E747" t="s">
        <v>17</v>
      </c>
      <c r="F747">
        <v>2</v>
      </c>
      <c r="G747" s="6">
        <v>771.62</v>
      </c>
      <c r="H747" s="5">
        <v>1543.24</v>
      </c>
      <c r="I747">
        <v>4.4000000000000004</v>
      </c>
    </row>
    <row r="748" spans="1:9" x14ac:dyDescent="0.35">
      <c r="A748" t="s">
        <v>1090</v>
      </c>
      <c r="B748" s="1">
        <v>45927</v>
      </c>
      <c r="C748" t="s">
        <v>23</v>
      </c>
      <c r="D748" t="s">
        <v>12</v>
      </c>
      <c r="E748" t="s">
        <v>13</v>
      </c>
      <c r="F748">
        <v>23</v>
      </c>
      <c r="G748" s="6">
        <v>1021.09</v>
      </c>
      <c r="H748" s="5">
        <v>23485.07</v>
      </c>
      <c r="I748">
        <v>3.9</v>
      </c>
    </row>
    <row r="749" spans="1:9" x14ac:dyDescent="0.35">
      <c r="A749" t="s">
        <v>1091</v>
      </c>
      <c r="B749" s="1">
        <v>45820</v>
      </c>
      <c r="C749" t="s">
        <v>16</v>
      </c>
      <c r="D749" t="s">
        <v>12</v>
      </c>
      <c r="E749" t="s">
        <v>17</v>
      </c>
      <c r="F749">
        <v>24</v>
      </c>
      <c r="G749" s="6">
        <v>679.35</v>
      </c>
      <c r="H749" s="5">
        <v>16304.4</v>
      </c>
      <c r="I749">
        <v>4.5999999999999996</v>
      </c>
    </row>
    <row r="750" spans="1:9" x14ac:dyDescent="0.35">
      <c r="A750" t="s">
        <v>1092</v>
      </c>
      <c r="B750" s="1">
        <v>45884</v>
      </c>
      <c r="C750" t="s">
        <v>16</v>
      </c>
      <c r="D750" t="s">
        <v>24</v>
      </c>
      <c r="E750" t="s">
        <v>25</v>
      </c>
      <c r="F750">
        <v>1</v>
      </c>
      <c r="G750" s="6">
        <v>1400.81</v>
      </c>
      <c r="H750" s="5">
        <v>1400.81</v>
      </c>
      <c r="I750">
        <v>3.3</v>
      </c>
    </row>
    <row r="751" spans="1:9" x14ac:dyDescent="0.35">
      <c r="A751" t="s">
        <v>1093</v>
      </c>
      <c r="B751" s="1">
        <v>45919</v>
      </c>
      <c r="C751" t="s">
        <v>38</v>
      </c>
      <c r="D751" t="s">
        <v>12</v>
      </c>
      <c r="E751" t="s">
        <v>13</v>
      </c>
      <c r="F751">
        <v>2</v>
      </c>
      <c r="G751" s="6">
        <v>737.52</v>
      </c>
      <c r="H751" s="5">
        <v>1475.04</v>
      </c>
      <c r="I751">
        <v>3.5</v>
      </c>
    </row>
    <row r="752" spans="1:9" x14ac:dyDescent="0.35">
      <c r="A752" t="s">
        <v>1094</v>
      </c>
      <c r="B752" s="1">
        <v>45910</v>
      </c>
      <c r="C752" t="s">
        <v>38</v>
      </c>
      <c r="D752" t="s">
        <v>12</v>
      </c>
      <c r="E752" t="s">
        <v>90</v>
      </c>
      <c r="F752">
        <v>8</v>
      </c>
      <c r="G752" s="6">
        <v>1172.4100000000001</v>
      </c>
      <c r="H752" s="5">
        <v>9379.2800000000007</v>
      </c>
      <c r="I752">
        <v>3.2</v>
      </c>
    </row>
    <row r="753" spans="1:9" x14ac:dyDescent="0.35">
      <c r="A753" t="s">
        <v>1095</v>
      </c>
      <c r="B753" s="1">
        <v>45793</v>
      </c>
      <c r="C753" t="s">
        <v>38</v>
      </c>
      <c r="D753" t="s">
        <v>19</v>
      </c>
      <c r="E753" t="s">
        <v>20</v>
      </c>
      <c r="F753">
        <v>12</v>
      </c>
      <c r="G753" s="6">
        <v>1030.5899999999999</v>
      </c>
      <c r="H753" s="5">
        <v>12367.08</v>
      </c>
      <c r="I753">
        <v>4.0999999999999996</v>
      </c>
    </row>
    <row r="754" spans="1:9" x14ac:dyDescent="0.35">
      <c r="A754" t="s">
        <v>1096</v>
      </c>
      <c r="B754" s="1">
        <v>45698</v>
      </c>
      <c r="C754" t="s">
        <v>23</v>
      </c>
      <c r="D754" t="s">
        <v>24</v>
      </c>
      <c r="E754" t="s">
        <v>69</v>
      </c>
      <c r="F754">
        <v>19</v>
      </c>
      <c r="G754" s="6">
        <v>506.93</v>
      </c>
      <c r="H754" s="5">
        <v>9631.67</v>
      </c>
      <c r="I754">
        <v>3.2</v>
      </c>
    </row>
    <row r="755" spans="1:9" x14ac:dyDescent="0.35">
      <c r="A755" t="s">
        <v>1097</v>
      </c>
      <c r="B755" s="1">
        <v>45672</v>
      </c>
      <c r="C755" t="s">
        <v>16</v>
      </c>
      <c r="D755" t="s">
        <v>19</v>
      </c>
      <c r="E755" t="s">
        <v>20</v>
      </c>
      <c r="F755">
        <v>21</v>
      </c>
      <c r="G755" s="6">
        <v>706.67</v>
      </c>
      <c r="H755" s="5">
        <v>14840.07</v>
      </c>
      <c r="I755">
        <v>4.5</v>
      </c>
    </row>
    <row r="756" spans="1:9" x14ac:dyDescent="0.35">
      <c r="A756" t="s">
        <v>1098</v>
      </c>
      <c r="B756" s="1">
        <v>45832</v>
      </c>
      <c r="C756" t="s">
        <v>16</v>
      </c>
      <c r="D756" t="s">
        <v>24</v>
      </c>
      <c r="E756" t="s">
        <v>69</v>
      </c>
      <c r="F756">
        <v>10</v>
      </c>
      <c r="G756" s="6">
        <v>1429.67</v>
      </c>
      <c r="H756" s="5">
        <v>14296.7</v>
      </c>
      <c r="I756">
        <v>3</v>
      </c>
    </row>
    <row r="757" spans="1:9" x14ac:dyDescent="0.35">
      <c r="A757" t="s">
        <v>1099</v>
      </c>
      <c r="B757" s="1">
        <v>45695</v>
      </c>
      <c r="C757" t="s">
        <v>11</v>
      </c>
      <c r="D757" t="s">
        <v>24</v>
      </c>
      <c r="E757" t="s">
        <v>44</v>
      </c>
      <c r="F757">
        <v>7</v>
      </c>
      <c r="G757" s="6">
        <v>551.70000000000005</v>
      </c>
      <c r="H757" s="5">
        <v>3861.9</v>
      </c>
      <c r="I757">
        <v>4.3</v>
      </c>
    </row>
    <row r="758" spans="1:9" x14ac:dyDescent="0.35">
      <c r="A758" t="s">
        <v>1100</v>
      </c>
      <c r="B758" s="1">
        <v>45693</v>
      </c>
      <c r="C758" t="s">
        <v>38</v>
      </c>
      <c r="D758" t="s">
        <v>24</v>
      </c>
      <c r="E758" t="s">
        <v>69</v>
      </c>
      <c r="F758">
        <v>24</v>
      </c>
      <c r="G758" s="6">
        <v>345.75</v>
      </c>
      <c r="H758" s="5">
        <v>8298</v>
      </c>
      <c r="I758">
        <v>3.2</v>
      </c>
    </row>
    <row r="759" spans="1:9" x14ac:dyDescent="0.35">
      <c r="A759" t="s">
        <v>1101</v>
      </c>
      <c r="B759" s="1">
        <v>45845</v>
      </c>
      <c r="C759" t="s">
        <v>11</v>
      </c>
      <c r="D759" t="s">
        <v>24</v>
      </c>
      <c r="E759" t="s">
        <v>44</v>
      </c>
      <c r="F759">
        <v>1</v>
      </c>
      <c r="G759" s="6">
        <v>1337.9</v>
      </c>
      <c r="H759" s="5">
        <v>1337.9</v>
      </c>
      <c r="I759">
        <v>4.7</v>
      </c>
    </row>
    <row r="760" spans="1:9" x14ac:dyDescent="0.35">
      <c r="A760" t="s">
        <v>1102</v>
      </c>
      <c r="B760" s="1">
        <v>45891</v>
      </c>
      <c r="C760" t="s">
        <v>16</v>
      </c>
      <c r="D760" t="s">
        <v>19</v>
      </c>
      <c r="E760" t="s">
        <v>31</v>
      </c>
      <c r="F760">
        <v>14</v>
      </c>
      <c r="G760" s="6">
        <v>825.99</v>
      </c>
      <c r="H760" s="5">
        <v>11563.86</v>
      </c>
      <c r="I760">
        <v>4.0999999999999996</v>
      </c>
    </row>
    <row r="761" spans="1:9" x14ac:dyDescent="0.35">
      <c r="A761" t="s">
        <v>1103</v>
      </c>
      <c r="B761" s="1">
        <v>45798</v>
      </c>
      <c r="C761" t="s">
        <v>23</v>
      </c>
      <c r="D761" t="s">
        <v>19</v>
      </c>
      <c r="E761" t="s">
        <v>28</v>
      </c>
      <c r="F761">
        <v>25</v>
      </c>
      <c r="G761" s="6">
        <v>961.02</v>
      </c>
      <c r="H761" s="5">
        <v>24025.5</v>
      </c>
      <c r="I761">
        <v>4.5</v>
      </c>
    </row>
    <row r="762" spans="1:9" x14ac:dyDescent="0.35">
      <c r="A762" t="s">
        <v>1104</v>
      </c>
      <c r="B762" s="1">
        <v>45892</v>
      </c>
      <c r="C762" t="s">
        <v>11</v>
      </c>
      <c r="D762" t="s">
        <v>12</v>
      </c>
      <c r="E762" t="s">
        <v>17</v>
      </c>
      <c r="F762">
        <v>12</v>
      </c>
      <c r="G762" s="6">
        <v>1268.95</v>
      </c>
      <c r="H762" s="5">
        <v>15227.4</v>
      </c>
      <c r="I762">
        <v>4.8</v>
      </c>
    </row>
    <row r="763" spans="1:9" x14ac:dyDescent="0.35">
      <c r="A763" t="s">
        <v>1105</v>
      </c>
      <c r="B763" s="1">
        <v>45681</v>
      </c>
      <c r="C763" t="s">
        <v>23</v>
      </c>
      <c r="D763" t="s">
        <v>19</v>
      </c>
      <c r="E763" t="s">
        <v>28</v>
      </c>
      <c r="F763">
        <v>23</v>
      </c>
      <c r="G763" s="6">
        <v>1126.02</v>
      </c>
      <c r="H763" s="5">
        <v>25898.46</v>
      </c>
      <c r="I763">
        <v>4.7</v>
      </c>
    </row>
    <row r="764" spans="1:9" x14ac:dyDescent="0.35">
      <c r="A764" t="s">
        <v>1106</v>
      </c>
      <c r="B764" s="1">
        <v>45926</v>
      </c>
      <c r="C764" t="s">
        <v>23</v>
      </c>
      <c r="D764" t="s">
        <v>24</v>
      </c>
      <c r="E764" t="s">
        <v>44</v>
      </c>
      <c r="F764">
        <v>14</v>
      </c>
      <c r="G764" s="6">
        <v>1459.59</v>
      </c>
      <c r="H764" s="5">
        <v>20434.259999999998</v>
      </c>
      <c r="I764">
        <v>3.6</v>
      </c>
    </row>
    <row r="765" spans="1:9" x14ac:dyDescent="0.35">
      <c r="A765" t="s">
        <v>1107</v>
      </c>
      <c r="B765" s="1">
        <v>45837</v>
      </c>
      <c r="C765" t="s">
        <v>38</v>
      </c>
      <c r="D765" t="s">
        <v>12</v>
      </c>
      <c r="E765" t="s">
        <v>17</v>
      </c>
      <c r="F765">
        <v>17</v>
      </c>
      <c r="G765" s="6">
        <v>192.84</v>
      </c>
      <c r="H765" s="5">
        <v>3278.28</v>
      </c>
      <c r="I765">
        <v>4.9000000000000004</v>
      </c>
    </row>
    <row r="766" spans="1:9" x14ac:dyDescent="0.35">
      <c r="A766" t="s">
        <v>1108</v>
      </c>
      <c r="B766" s="1">
        <v>45975</v>
      </c>
      <c r="C766" t="s">
        <v>11</v>
      </c>
      <c r="D766" t="s">
        <v>24</v>
      </c>
      <c r="E766" t="s">
        <v>69</v>
      </c>
      <c r="F766">
        <v>15</v>
      </c>
      <c r="G766" s="6">
        <v>671.18</v>
      </c>
      <c r="H766" s="5">
        <v>10067.700000000001</v>
      </c>
      <c r="I766">
        <v>4</v>
      </c>
    </row>
    <row r="767" spans="1:9" x14ac:dyDescent="0.35">
      <c r="A767" t="s">
        <v>1109</v>
      </c>
      <c r="B767" s="1">
        <v>45670</v>
      </c>
      <c r="C767" t="s">
        <v>11</v>
      </c>
      <c r="D767" t="s">
        <v>12</v>
      </c>
      <c r="E767" t="s">
        <v>90</v>
      </c>
      <c r="F767">
        <v>20</v>
      </c>
      <c r="G767" s="6">
        <v>343.63</v>
      </c>
      <c r="H767" s="5">
        <v>6872.6</v>
      </c>
      <c r="I767">
        <v>3.3</v>
      </c>
    </row>
    <row r="768" spans="1:9" x14ac:dyDescent="0.35">
      <c r="A768" t="s">
        <v>1111</v>
      </c>
      <c r="B768" s="1">
        <v>45946</v>
      </c>
      <c r="C768" t="s">
        <v>11</v>
      </c>
      <c r="D768" t="s">
        <v>12</v>
      </c>
      <c r="E768" t="s">
        <v>13</v>
      </c>
      <c r="F768">
        <v>16</v>
      </c>
      <c r="G768" s="6">
        <v>1056.5899999999999</v>
      </c>
      <c r="H768" s="5">
        <v>16905.439999999999</v>
      </c>
      <c r="I768">
        <v>4.2</v>
      </c>
    </row>
    <row r="769" spans="1:9" x14ac:dyDescent="0.35">
      <c r="A769" t="s">
        <v>1112</v>
      </c>
      <c r="B769" s="1">
        <v>45681</v>
      </c>
      <c r="C769" t="s">
        <v>11</v>
      </c>
      <c r="D769" t="s">
        <v>19</v>
      </c>
      <c r="E769" t="s">
        <v>20</v>
      </c>
      <c r="F769">
        <v>13</v>
      </c>
      <c r="G769" s="6">
        <v>611.63</v>
      </c>
      <c r="H769" s="5">
        <v>7951.19</v>
      </c>
      <c r="I769">
        <v>3.8</v>
      </c>
    </row>
    <row r="770" spans="1:9" x14ac:dyDescent="0.35">
      <c r="A770" t="s">
        <v>1113</v>
      </c>
      <c r="B770" s="1">
        <v>45849</v>
      </c>
      <c r="C770" t="s">
        <v>11</v>
      </c>
      <c r="D770" t="s">
        <v>12</v>
      </c>
      <c r="E770" t="s">
        <v>13</v>
      </c>
      <c r="F770">
        <v>25</v>
      </c>
      <c r="G770" s="6">
        <v>1389.82</v>
      </c>
      <c r="H770" s="5">
        <v>34745.5</v>
      </c>
      <c r="I770">
        <v>4.0999999999999996</v>
      </c>
    </row>
    <row r="771" spans="1:9" x14ac:dyDescent="0.35">
      <c r="A771" t="s">
        <v>1114</v>
      </c>
      <c r="B771" s="1">
        <v>45892</v>
      </c>
      <c r="C771" t="s">
        <v>16</v>
      </c>
      <c r="D771" t="s">
        <v>24</v>
      </c>
      <c r="E771" t="s">
        <v>69</v>
      </c>
      <c r="F771">
        <v>14</v>
      </c>
      <c r="G771" s="6">
        <v>390.52</v>
      </c>
      <c r="H771" s="5">
        <v>5467.28</v>
      </c>
      <c r="I771">
        <v>4.4000000000000004</v>
      </c>
    </row>
    <row r="772" spans="1:9" x14ac:dyDescent="0.35">
      <c r="A772" t="s">
        <v>1115</v>
      </c>
      <c r="B772" s="1">
        <v>45818</v>
      </c>
      <c r="C772" t="s">
        <v>23</v>
      </c>
      <c r="D772" t="s">
        <v>19</v>
      </c>
      <c r="E772" t="s">
        <v>28</v>
      </c>
      <c r="F772">
        <v>10</v>
      </c>
      <c r="G772" s="6">
        <v>669.55</v>
      </c>
      <c r="H772" s="5">
        <v>6695.5</v>
      </c>
      <c r="I772">
        <v>3.2</v>
      </c>
    </row>
    <row r="773" spans="1:9" x14ac:dyDescent="0.35">
      <c r="A773" t="s">
        <v>1116</v>
      </c>
      <c r="B773" s="1">
        <v>45781</v>
      </c>
      <c r="C773" t="s">
        <v>38</v>
      </c>
      <c r="D773" t="s">
        <v>24</v>
      </c>
      <c r="E773" t="s">
        <v>69</v>
      </c>
      <c r="F773">
        <v>18</v>
      </c>
      <c r="G773" s="6">
        <v>109.24</v>
      </c>
      <c r="H773" s="5">
        <v>1966.32</v>
      </c>
      <c r="I773">
        <v>3.9</v>
      </c>
    </row>
    <row r="774" spans="1:9" x14ac:dyDescent="0.35">
      <c r="A774" t="s">
        <v>1117</v>
      </c>
      <c r="B774" s="1">
        <v>45725</v>
      </c>
      <c r="C774" t="s">
        <v>11</v>
      </c>
      <c r="D774" t="s">
        <v>24</v>
      </c>
      <c r="E774" t="s">
        <v>69</v>
      </c>
      <c r="F774">
        <v>11</v>
      </c>
      <c r="G774" s="6">
        <v>23.37</v>
      </c>
      <c r="H774" s="5">
        <v>257.07</v>
      </c>
      <c r="I774">
        <v>3.6</v>
      </c>
    </row>
    <row r="775" spans="1:9" x14ac:dyDescent="0.35">
      <c r="A775" t="s">
        <v>1118</v>
      </c>
      <c r="B775" s="1">
        <v>45856</v>
      </c>
      <c r="C775" t="s">
        <v>38</v>
      </c>
      <c r="D775" t="s">
        <v>12</v>
      </c>
      <c r="E775" t="s">
        <v>90</v>
      </c>
      <c r="F775">
        <v>7</v>
      </c>
      <c r="G775" s="6">
        <v>1402.19</v>
      </c>
      <c r="H775" s="5">
        <v>9815.33</v>
      </c>
      <c r="I775">
        <v>4.8</v>
      </c>
    </row>
    <row r="776" spans="1:9" x14ac:dyDescent="0.35">
      <c r="A776" t="s">
        <v>1119</v>
      </c>
      <c r="B776" s="1">
        <v>45836</v>
      </c>
      <c r="C776" t="s">
        <v>16</v>
      </c>
      <c r="D776" t="s">
        <v>24</v>
      </c>
      <c r="E776" t="s">
        <v>44</v>
      </c>
      <c r="F776">
        <v>23</v>
      </c>
      <c r="G776" s="6">
        <v>1098.0899999999999</v>
      </c>
      <c r="H776" s="5">
        <v>25256.07</v>
      </c>
      <c r="I776">
        <v>4.4000000000000004</v>
      </c>
    </row>
    <row r="777" spans="1:9" x14ac:dyDescent="0.35">
      <c r="A777" t="s">
        <v>1120</v>
      </c>
      <c r="B777" s="1">
        <v>45806</v>
      </c>
      <c r="C777" t="s">
        <v>16</v>
      </c>
      <c r="D777" t="s">
        <v>12</v>
      </c>
      <c r="E777" t="s">
        <v>90</v>
      </c>
      <c r="F777">
        <v>5</v>
      </c>
      <c r="G777" s="6">
        <v>1283</v>
      </c>
      <c r="H777" s="5">
        <v>6415</v>
      </c>
      <c r="I777">
        <v>4.7</v>
      </c>
    </row>
    <row r="778" spans="1:9" x14ac:dyDescent="0.35">
      <c r="A778" t="s">
        <v>1121</v>
      </c>
      <c r="B778" s="1">
        <v>45924</v>
      </c>
      <c r="C778" t="s">
        <v>38</v>
      </c>
      <c r="D778" t="s">
        <v>12</v>
      </c>
      <c r="E778" t="s">
        <v>17</v>
      </c>
      <c r="F778">
        <v>15</v>
      </c>
      <c r="G778" s="6">
        <v>276.14</v>
      </c>
      <c r="H778" s="5">
        <v>4142.1000000000004</v>
      </c>
      <c r="I778">
        <v>3.5</v>
      </c>
    </row>
    <row r="779" spans="1:9" x14ac:dyDescent="0.35">
      <c r="A779" t="s">
        <v>1122</v>
      </c>
      <c r="B779" s="1">
        <v>45785</v>
      </c>
      <c r="C779" t="s">
        <v>11</v>
      </c>
      <c r="D779" t="s">
        <v>12</v>
      </c>
      <c r="E779" t="s">
        <v>13</v>
      </c>
      <c r="F779">
        <v>17</v>
      </c>
      <c r="G779" s="6">
        <v>1417.51</v>
      </c>
      <c r="H779" s="5">
        <v>24097.67</v>
      </c>
      <c r="I779">
        <v>3.5</v>
      </c>
    </row>
    <row r="780" spans="1:9" x14ac:dyDescent="0.35">
      <c r="A780" t="s">
        <v>1123</v>
      </c>
      <c r="B780" s="1">
        <v>45815</v>
      </c>
      <c r="C780" t="s">
        <v>16</v>
      </c>
      <c r="D780" t="s">
        <v>19</v>
      </c>
      <c r="E780" t="s">
        <v>28</v>
      </c>
      <c r="F780">
        <v>20</v>
      </c>
      <c r="G780" s="6">
        <v>236.73</v>
      </c>
      <c r="H780" s="5">
        <v>4734.6000000000004</v>
      </c>
      <c r="I780">
        <v>4.9000000000000004</v>
      </c>
    </row>
    <row r="781" spans="1:9" x14ac:dyDescent="0.35">
      <c r="A781" t="s">
        <v>1124</v>
      </c>
      <c r="B781" s="1">
        <v>45893</v>
      </c>
      <c r="C781" t="s">
        <v>38</v>
      </c>
      <c r="D781" t="s">
        <v>12</v>
      </c>
      <c r="E781" t="s">
        <v>90</v>
      </c>
      <c r="F781">
        <v>9</v>
      </c>
      <c r="G781" s="6">
        <v>136.83000000000001</v>
      </c>
      <c r="H781" s="5">
        <v>1231.47</v>
      </c>
      <c r="I781">
        <v>3.4</v>
      </c>
    </row>
    <row r="782" spans="1:9" x14ac:dyDescent="0.35">
      <c r="A782" t="s">
        <v>1125</v>
      </c>
      <c r="B782" s="1">
        <v>45941</v>
      </c>
      <c r="C782" t="s">
        <v>38</v>
      </c>
      <c r="D782" t="s">
        <v>12</v>
      </c>
      <c r="E782" t="s">
        <v>90</v>
      </c>
      <c r="F782">
        <v>1</v>
      </c>
      <c r="G782" s="6">
        <v>420.88</v>
      </c>
      <c r="H782" s="5">
        <v>420.88</v>
      </c>
      <c r="I782">
        <v>4.5999999999999996</v>
      </c>
    </row>
    <row r="783" spans="1:9" x14ac:dyDescent="0.35">
      <c r="A783" t="s">
        <v>1126</v>
      </c>
      <c r="B783" s="1">
        <v>45996</v>
      </c>
      <c r="C783" t="s">
        <v>23</v>
      </c>
      <c r="D783" t="s">
        <v>24</v>
      </c>
      <c r="E783" t="s">
        <v>69</v>
      </c>
      <c r="F783">
        <v>22</v>
      </c>
      <c r="G783" s="6">
        <v>9.9499999999999993</v>
      </c>
      <c r="H783" s="5">
        <v>218.9</v>
      </c>
      <c r="I783">
        <v>3.5</v>
      </c>
    </row>
    <row r="784" spans="1:9" x14ac:dyDescent="0.35">
      <c r="A784" t="s">
        <v>1127</v>
      </c>
      <c r="B784" s="1">
        <v>45744</v>
      </c>
      <c r="C784" t="s">
        <v>23</v>
      </c>
      <c r="D784" t="s">
        <v>19</v>
      </c>
      <c r="E784" t="s">
        <v>28</v>
      </c>
      <c r="F784">
        <v>25</v>
      </c>
      <c r="G784" s="6">
        <v>36.799999999999997</v>
      </c>
      <c r="H784" s="5">
        <v>920</v>
      </c>
      <c r="I784">
        <v>4.2</v>
      </c>
    </row>
    <row r="785" spans="1:9" x14ac:dyDescent="0.35">
      <c r="A785" t="s">
        <v>1128</v>
      </c>
      <c r="B785" s="1">
        <v>45748</v>
      </c>
      <c r="C785" t="s">
        <v>38</v>
      </c>
      <c r="D785" t="s">
        <v>12</v>
      </c>
      <c r="E785" t="s">
        <v>17</v>
      </c>
      <c r="F785">
        <v>16</v>
      </c>
      <c r="G785" s="6">
        <v>264.14999999999998</v>
      </c>
      <c r="H785" s="5">
        <v>4226.3999999999996</v>
      </c>
      <c r="I785">
        <v>3.5</v>
      </c>
    </row>
    <row r="786" spans="1:9" x14ac:dyDescent="0.35">
      <c r="A786" t="s">
        <v>1129</v>
      </c>
      <c r="B786" s="1">
        <v>45922</v>
      </c>
      <c r="C786" t="s">
        <v>11</v>
      </c>
      <c r="D786" t="s">
        <v>24</v>
      </c>
      <c r="E786" t="s">
        <v>25</v>
      </c>
      <c r="F786">
        <v>14</v>
      </c>
      <c r="G786" s="6">
        <v>164.09</v>
      </c>
      <c r="H786" s="5">
        <v>2297.2600000000002</v>
      </c>
      <c r="I786">
        <v>4.8</v>
      </c>
    </row>
    <row r="787" spans="1:9" x14ac:dyDescent="0.35">
      <c r="A787" t="s">
        <v>1130</v>
      </c>
      <c r="B787" s="1">
        <v>45795</v>
      </c>
      <c r="C787" t="s">
        <v>38</v>
      </c>
      <c r="D787" t="s">
        <v>19</v>
      </c>
      <c r="E787" t="s">
        <v>31</v>
      </c>
      <c r="F787">
        <v>25</v>
      </c>
      <c r="G787" s="6">
        <v>1058.3900000000001</v>
      </c>
      <c r="H787" s="5">
        <v>26459.75</v>
      </c>
      <c r="I787">
        <v>4.5</v>
      </c>
    </row>
    <row r="788" spans="1:9" x14ac:dyDescent="0.35">
      <c r="A788" t="s">
        <v>1131</v>
      </c>
      <c r="B788" s="1">
        <v>45994</v>
      </c>
      <c r="C788" t="s">
        <v>11</v>
      </c>
      <c r="D788" t="s">
        <v>19</v>
      </c>
      <c r="E788" t="s">
        <v>31</v>
      </c>
      <c r="F788">
        <v>14</v>
      </c>
      <c r="G788" s="6">
        <v>1289.25</v>
      </c>
      <c r="H788" s="5">
        <v>18049.5</v>
      </c>
      <c r="I788">
        <v>4</v>
      </c>
    </row>
    <row r="789" spans="1:9" x14ac:dyDescent="0.35">
      <c r="A789" t="s">
        <v>1132</v>
      </c>
      <c r="B789" s="1">
        <v>45890</v>
      </c>
      <c r="C789" t="s">
        <v>11</v>
      </c>
      <c r="D789" t="s">
        <v>24</v>
      </c>
      <c r="E789" t="s">
        <v>69</v>
      </c>
      <c r="F789">
        <v>15</v>
      </c>
      <c r="G789" s="6">
        <v>990.62</v>
      </c>
      <c r="H789" s="5">
        <v>14859.3</v>
      </c>
      <c r="I789">
        <v>4.8</v>
      </c>
    </row>
    <row r="790" spans="1:9" x14ac:dyDescent="0.35">
      <c r="A790" t="s">
        <v>1133</v>
      </c>
      <c r="B790" s="1">
        <v>45672</v>
      </c>
      <c r="C790" t="s">
        <v>23</v>
      </c>
      <c r="D790" t="s">
        <v>24</v>
      </c>
      <c r="E790" t="s">
        <v>25</v>
      </c>
      <c r="F790">
        <v>7</v>
      </c>
      <c r="G790" s="6">
        <v>339.57</v>
      </c>
      <c r="H790" s="5">
        <v>2376.9899999999998</v>
      </c>
      <c r="I790">
        <v>3.5</v>
      </c>
    </row>
    <row r="791" spans="1:9" x14ac:dyDescent="0.35">
      <c r="A791" t="s">
        <v>1134</v>
      </c>
      <c r="B791" s="1">
        <v>45830</v>
      </c>
      <c r="C791" t="s">
        <v>38</v>
      </c>
      <c r="D791" t="s">
        <v>24</v>
      </c>
      <c r="E791" t="s">
        <v>25</v>
      </c>
      <c r="F791">
        <v>24</v>
      </c>
      <c r="G791" s="6">
        <v>328.91</v>
      </c>
      <c r="H791" s="5">
        <v>7893.84</v>
      </c>
      <c r="I791">
        <v>4.0999999999999996</v>
      </c>
    </row>
    <row r="792" spans="1:9" x14ac:dyDescent="0.35">
      <c r="A792" t="s">
        <v>1135</v>
      </c>
      <c r="B792" s="1">
        <v>45848</v>
      </c>
      <c r="C792" t="s">
        <v>11</v>
      </c>
      <c r="D792" t="s">
        <v>12</v>
      </c>
      <c r="E792" t="s">
        <v>90</v>
      </c>
      <c r="F792">
        <v>23</v>
      </c>
      <c r="G792" s="6">
        <v>283.49</v>
      </c>
      <c r="H792" s="5">
        <v>6520.27</v>
      </c>
      <c r="I792">
        <v>4.2</v>
      </c>
    </row>
    <row r="793" spans="1:9" x14ac:dyDescent="0.35">
      <c r="A793" t="s">
        <v>1136</v>
      </c>
      <c r="B793" s="1">
        <v>45935</v>
      </c>
      <c r="C793" t="s">
        <v>38</v>
      </c>
      <c r="D793" t="s">
        <v>24</v>
      </c>
      <c r="E793" t="s">
        <v>44</v>
      </c>
      <c r="F793">
        <v>10</v>
      </c>
      <c r="G793" s="6">
        <v>910.39</v>
      </c>
      <c r="H793" s="5">
        <v>9103.9</v>
      </c>
      <c r="I793">
        <v>4.3</v>
      </c>
    </row>
    <row r="794" spans="1:9" x14ac:dyDescent="0.35">
      <c r="A794" t="s">
        <v>1138</v>
      </c>
      <c r="B794" s="1">
        <v>45867</v>
      </c>
      <c r="C794" t="s">
        <v>23</v>
      </c>
      <c r="D794" t="s">
        <v>24</v>
      </c>
      <c r="E794" t="s">
        <v>25</v>
      </c>
      <c r="F794">
        <v>18</v>
      </c>
      <c r="G794" s="6">
        <v>1468.8</v>
      </c>
      <c r="H794" s="5">
        <v>26438.400000000001</v>
      </c>
      <c r="I794">
        <v>4.3</v>
      </c>
    </row>
    <row r="795" spans="1:9" x14ac:dyDescent="0.35">
      <c r="A795" t="s">
        <v>1139</v>
      </c>
      <c r="B795" s="1">
        <v>46001</v>
      </c>
      <c r="C795" t="s">
        <v>16</v>
      </c>
      <c r="D795" t="s">
        <v>12</v>
      </c>
      <c r="E795" t="s">
        <v>13</v>
      </c>
      <c r="F795">
        <v>8</v>
      </c>
      <c r="G795" s="6">
        <v>293.86</v>
      </c>
      <c r="H795" s="5">
        <v>2350.88</v>
      </c>
      <c r="I795">
        <v>5</v>
      </c>
    </row>
    <row r="796" spans="1:9" x14ac:dyDescent="0.35">
      <c r="A796" t="s">
        <v>1140</v>
      </c>
      <c r="B796" s="1">
        <v>45916</v>
      </c>
      <c r="C796" t="s">
        <v>11</v>
      </c>
      <c r="D796" t="s">
        <v>24</v>
      </c>
      <c r="E796" t="s">
        <v>69</v>
      </c>
      <c r="F796">
        <v>23</v>
      </c>
      <c r="G796" s="6">
        <v>712.26</v>
      </c>
      <c r="H796" s="5">
        <v>16381.98</v>
      </c>
      <c r="I796">
        <v>3.4</v>
      </c>
    </row>
    <row r="797" spans="1:9" x14ac:dyDescent="0.35">
      <c r="A797" t="s">
        <v>1141</v>
      </c>
      <c r="B797" s="1">
        <v>45971</v>
      </c>
      <c r="C797" t="s">
        <v>11</v>
      </c>
      <c r="D797" t="s">
        <v>12</v>
      </c>
      <c r="E797" t="s">
        <v>17</v>
      </c>
      <c r="F797">
        <v>23</v>
      </c>
      <c r="G797" s="6">
        <v>1041.6400000000001</v>
      </c>
      <c r="H797" s="5">
        <v>23957.72</v>
      </c>
      <c r="I797">
        <v>4</v>
      </c>
    </row>
    <row r="798" spans="1:9" x14ac:dyDescent="0.35">
      <c r="A798" t="s">
        <v>1142</v>
      </c>
      <c r="B798" s="1">
        <v>45980</v>
      </c>
      <c r="C798" t="s">
        <v>16</v>
      </c>
      <c r="D798" t="s">
        <v>24</v>
      </c>
      <c r="E798" t="s">
        <v>44</v>
      </c>
      <c r="F798">
        <v>23</v>
      </c>
      <c r="G798" s="6">
        <v>1212.73</v>
      </c>
      <c r="H798" s="5">
        <v>27892.79</v>
      </c>
      <c r="I798">
        <v>3.8</v>
      </c>
    </row>
    <row r="799" spans="1:9" x14ac:dyDescent="0.35">
      <c r="A799" t="s">
        <v>1143</v>
      </c>
      <c r="B799" s="1">
        <v>46003</v>
      </c>
      <c r="C799" t="s">
        <v>11</v>
      </c>
      <c r="D799" t="s">
        <v>24</v>
      </c>
      <c r="E799" t="s">
        <v>44</v>
      </c>
      <c r="F799">
        <v>10</v>
      </c>
      <c r="G799" s="6">
        <v>441.13</v>
      </c>
      <c r="H799" s="5">
        <v>4411.3</v>
      </c>
      <c r="I799">
        <v>3.2</v>
      </c>
    </row>
    <row r="800" spans="1:9" x14ac:dyDescent="0.35">
      <c r="A800" t="s">
        <v>1144</v>
      </c>
      <c r="B800" s="1">
        <v>45943</v>
      </c>
      <c r="C800" t="s">
        <v>23</v>
      </c>
      <c r="D800" t="s">
        <v>24</v>
      </c>
      <c r="E800" t="s">
        <v>69</v>
      </c>
      <c r="F800">
        <v>23</v>
      </c>
      <c r="G800" s="6">
        <v>258.88</v>
      </c>
      <c r="H800" s="5">
        <v>5954.24</v>
      </c>
      <c r="I800">
        <v>3.3</v>
      </c>
    </row>
    <row r="801" spans="1:9" x14ac:dyDescent="0.35">
      <c r="A801" t="s">
        <v>1145</v>
      </c>
      <c r="B801" s="1">
        <v>45947</v>
      </c>
      <c r="C801" t="s">
        <v>11</v>
      </c>
      <c r="D801" t="s">
        <v>24</v>
      </c>
      <c r="E801" t="s">
        <v>25</v>
      </c>
      <c r="F801">
        <v>22</v>
      </c>
      <c r="G801" s="6">
        <v>513.52</v>
      </c>
      <c r="H801" s="5">
        <v>11297.44</v>
      </c>
      <c r="I801">
        <v>4.8</v>
      </c>
    </row>
    <row r="802" spans="1:9" x14ac:dyDescent="0.35">
      <c r="A802" t="s">
        <v>1147</v>
      </c>
      <c r="B802" s="1">
        <v>45735</v>
      </c>
      <c r="C802" t="s">
        <v>16</v>
      </c>
      <c r="D802" t="s">
        <v>24</v>
      </c>
      <c r="E802" t="s">
        <v>25</v>
      </c>
      <c r="F802">
        <v>10</v>
      </c>
      <c r="G802" s="6">
        <v>1493.53</v>
      </c>
      <c r="H802" s="5">
        <v>14935.3</v>
      </c>
      <c r="I802">
        <v>4.5</v>
      </c>
    </row>
    <row r="803" spans="1:9" x14ac:dyDescent="0.35">
      <c r="A803" t="s">
        <v>1148</v>
      </c>
      <c r="B803" s="1">
        <v>45818</v>
      </c>
      <c r="C803" t="s">
        <v>23</v>
      </c>
      <c r="D803" t="s">
        <v>24</v>
      </c>
      <c r="E803" t="s">
        <v>25</v>
      </c>
      <c r="F803">
        <v>6</v>
      </c>
      <c r="G803" s="6">
        <v>296.26</v>
      </c>
      <c r="H803" s="5">
        <v>1777.56</v>
      </c>
      <c r="I803">
        <v>4.8</v>
      </c>
    </row>
    <row r="804" spans="1:9" x14ac:dyDescent="0.35">
      <c r="A804" t="s">
        <v>1149</v>
      </c>
      <c r="B804" s="1">
        <v>45742</v>
      </c>
      <c r="C804" t="s">
        <v>38</v>
      </c>
      <c r="D804" t="s">
        <v>19</v>
      </c>
      <c r="E804" t="s">
        <v>31</v>
      </c>
      <c r="F804">
        <v>16</v>
      </c>
      <c r="G804" s="6">
        <v>246.09</v>
      </c>
      <c r="H804" s="5">
        <v>3937.44</v>
      </c>
      <c r="I804">
        <v>4.7</v>
      </c>
    </row>
    <row r="805" spans="1:9" x14ac:dyDescent="0.35">
      <c r="A805" t="s">
        <v>1151</v>
      </c>
      <c r="B805" s="1">
        <v>45997</v>
      </c>
      <c r="C805" t="s">
        <v>23</v>
      </c>
      <c r="D805" t="s">
        <v>24</v>
      </c>
      <c r="E805" t="s">
        <v>69</v>
      </c>
      <c r="F805">
        <v>16</v>
      </c>
      <c r="G805" s="6">
        <v>522.69000000000005</v>
      </c>
      <c r="H805" s="5">
        <v>8363.0400000000009</v>
      </c>
      <c r="I805">
        <v>3.2</v>
      </c>
    </row>
    <row r="806" spans="1:9" x14ac:dyDescent="0.35">
      <c r="A806" t="s">
        <v>1152</v>
      </c>
      <c r="B806" s="1">
        <v>45822</v>
      </c>
      <c r="C806" t="s">
        <v>16</v>
      </c>
      <c r="D806" t="s">
        <v>12</v>
      </c>
      <c r="E806" t="s">
        <v>13</v>
      </c>
      <c r="F806">
        <v>25</v>
      </c>
      <c r="G806" s="6">
        <v>574.54</v>
      </c>
      <c r="H806" s="5">
        <v>14363.5</v>
      </c>
      <c r="I806">
        <v>4</v>
      </c>
    </row>
    <row r="807" spans="1:9" x14ac:dyDescent="0.35">
      <c r="A807" t="s">
        <v>1153</v>
      </c>
      <c r="B807" s="1">
        <v>45872</v>
      </c>
      <c r="C807" t="s">
        <v>38</v>
      </c>
      <c r="D807" t="s">
        <v>12</v>
      </c>
      <c r="E807" t="s">
        <v>90</v>
      </c>
      <c r="F807">
        <v>14</v>
      </c>
      <c r="G807" s="6">
        <v>373.39</v>
      </c>
      <c r="H807" s="5">
        <v>5227.46</v>
      </c>
      <c r="I807">
        <v>4.5</v>
      </c>
    </row>
    <row r="808" spans="1:9" x14ac:dyDescent="0.35">
      <c r="A808" t="s">
        <v>1155</v>
      </c>
      <c r="B808" s="1">
        <v>45984</v>
      </c>
      <c r="C808" t="s">
        <v>11</v>
      </c>
      <c r="D808" t="s">
        <v>19</v>
      </c>
      <c r="E808" t="s">
        <v>28</v>
      </c>
      <c r="F808">
        <v>22</v>
      </c>
      <c r="G808" s="6">
        <v>595.32000000000005</v>
      </c>
      <c r="H808" s="5">
        <v>13097.04</v>
      </c>
      <c r="I808">
        <v>3.1</v>
      </c>
    </row>
    <row r="809" spans="1:9" x14ac:dyDescent="0.35">
      <c r="A809" t="s">
        <v>1156</v>
      </c>
      <c r="B809" s="1">
        <v>45966</v>
      </c>
      <c r="C809" t="s">
        <v>23</v>
      </c>
      <c r="D809" t="s">
        <v>19</v>
      </c>
      <c r="E809" t="s">
        <v>31</v>
      </c>
      <c r="F809">
        <v>4</v>
      </c>
      <c r="G809" s="6">
        <v>1032.6500000000001</v>
      </c>
      <c r="H809" s="5">
        <v>4130.6000000000004</v>
      </c>
      <c r="I809">
        <v>4.9000000000000004</v>
      </c>
    </row>
    <row r="810" spans="1:9" x14ac:dyDescent="0.35">
      <c r="A810" t="s">
        <v>1157</v>
      </c>
      <c r="B810" s="1">
        <v>45718</v>
      </c>
      <c r="C810" t="s">
        <v>38</v>
      </c>
      <c r="D810" t="s">
        <v>19</v>
      </c>
      <c r="E810" t="s">
        <v>31</v>
      </c>
      <c r="F810">
        <v>6</v>
      </c>
      <c r="G810" s="6">
        <v>780.07</v>
      </c>
      <c r="H810" s="5">
        <v>4680.42</v>
      </c>
      <c r="I810">
        <v>3.8</v>
      </c>
    </row>
    <row r="811" spans="1:9" x14ac:dyDescent="0.35">
      <c r="A811" t="s">
        <v>1159</v>
      </c>
      <c r="B811" s="1">
        <v>45715</v>
      </c>
      <c r="C811" t="s">
        <v>23</v>
      </c>
      <c r="D811" t="s">
        <v>12</v>
      </c>
      <c r="E811" t="s">
        <v>13</v>
      </c>
      <c r="F811">
        <v>2</v>
      </c>
      <c r="G811" s="6">
        <v>1305.01</v>
      </c>
      <c r="H811" s="5">
        <v>2610.02</v>
      </c>
      <c r="I811">
        <v>4.9000000000000004</v>
      </c>
    </row>
    <row r="812" spans="1:9" x14ac:dyDescent="0.35">
      <c r="A812" t="s">
        <v>1160</v>
      </c>
      <c r="B812" s="1">
        <v>45673</v>
      </c>
      <c r="C812" t="s">
        <v>38</v>
      </c>
      <c r="D812" t="s">
        <v>19</v>
      </c>
      <c r="E812" t="s">
        <v>20</v>
      </c>
      <c r="F812">
        <v>21</v>
      </c>
      <c r="G812" s="6">
        <v>1479.64</v>
      </c>
      <c r="H812" s="5">
        <v>31072.44</v>
      </c>
      <c r="I812">
        <v>4.4000000000000004</v>
      </c>
    </row>
    <row r="813" spans="1:9" x14ac:dyDescent="0.35">
      <c r="A813" t="s">
        <v>1161</v>
      </c>
      <c r="B813" s="1">
        <v>45665</v>
      </c>
      <c r="C813" t="s">
        <v>16</v>
      </c>
      <c r="D813" t="s">
        <v>24</v>
      </c>
      <c r="E813" t="s">
        <v>44</v>
      </c>
      <c r="F813">
        <v>13</v>
      </c>
      <c r="G813" s="6">
        <v>857.51</v>
      </c>
      <c r="H813" s="5">
        <v>11147.63</v>
      </c>
      <c r="I813">
        <v>3.8</v>
      </c>
    </row>
    <row r="814" spans="1:9" x14ac:dyDescent="0.35">
      <c r="A814" t="s">
        <v>1162</v>
      </c>
      <c r="B814" s="1">
        <v>45743</v>
      </c>
      <c r="C814" t="s">
        <v>38</v>
      </c>
      <c r="D814" t="s">
        <v>12</v>
      </c>
      <c r="E814" t="s">
        <v>17</v>
      </c>
      <c r="F814">
        <v>5</v>
      </c>
      <c r="G814" s="6">
        <v>1293.48</v>
      </c>
      <c r="H814" s="5">
        <v>6467.4</v>
      </c>
      <c r="I814">
        <v>3.6</v>
      </c>
    </row>
    <row r="815" spans="1:9" x14ac:dyDescent="0.35">
      <c r="A815" t="s">
        <v>1163</v>
      </c>
      <c r="B815" s="1">
        <v>45961</v>
      </c>
      <c r="C815" t="s">
        <v>16</v>
      </c>
      <c r="D815" t="s">
        <v>19</v>
      </c>
      <c r="E815" t="s">
        <v>20</v>
      </c>
      <c r="F815">
        <v>6</v>
      </c>
      <c r="G815" s="6">
        <v>723.23</v>
      </c>
      <c r="H815" s="5">
        <v>4339.38</v>
      </c>
      <c r="I815">
        <v>4.4000000000000004</v>
      </c>
    </row>
    <row r="816" spans="1:9" x14ac:dyDescent="0.35">
      <c r="A816" t="s">
        <v>1164</v>
      </c>
      <c r="B816" s="1">
        <v>45761</v>
      </c>
      <c r="C816" t="s">
        <v>38</v>
      </c>
      <c r="D816" t="s">
        <v>12</v>
      </c>
      <c r="E816" t="s">
        <v>13</v>
      </c>
      <c r="F816">
        <v>23</v>
      </c>
      <c r="G816" s="6">
        <v>464.74</v>
      </c>
      <c r="H816" s="5">
        <v>10689.02</v>
      </c>
      <c r="I816">
        <v>3.8</v>
      </c>
    </row>
    <row r="817" spans="1:9" x14ac:dyDescent="0.35">
      <c r="A817" t="s">
        <v>1165</v>
      </c>
      <c r="B817" s="1">
        <v>45807</v>
      </c>
      <c r="C817" t="s">
        <v>23</v>
      </c>
      <c r="D817" t="s">
        <v>12</v>
      </c>
      <c r="E817" t="s">
        <v>17</v>
      </c>
      <c r="F817">
        <v>9</v>
      </c>
      <c r="G817" s="6">
        <v>1074.79</v>
      </c>
      <c r="H817" s="5">
        <v>9673.11</v>
      </c>
      <c r="I817">
        <v>5</v>
      </c>
    </row>
    <row r="818" spans="1:9" x14ac:dyDescent="0.35">
      <c r="A818" t="s">
        <v>1166</v>
      </c>
      <c r="B818" s="1">
        <v>45836</v>
      </c>
      <c r="C818" t="s">
        <v>23</v>
      </c>
      <c r="D818" t="s">
        <v>19</v>
      </c>
      <c r="E818" t="s">
        <v>28</v>
      </c>
      <c r="F818">
        <v>8</v>
      </c>
      <c r="G818" s="6">
        <v>1084.95</v>
      </c>
      <c r="H818" s="5">
        <v>8679.6</v>
      </c>
      <c r="I818">
        <v>4.2</v>
      </c>
    </row>
    <row r="819" spans="1:9" x14ac:dyDescent="0.35">
      <c r="A819" t="s">
        <v>1167</v>
      </c>
      <c r="B819" s="1">
        <v>46000</v>
      </c>
      <c r="C819" t="s">
        <v>11</v>
      </c>
      <c r="D819" t="s">
        <v>24</v>
      </c>
      <c r="E819" t="s">
        <v>25</v>
      </c>
      <c r="F819">
        <v>1</v>
      </c>
      <c r="G819" s="6">
        <v>1255.5</v>
      </c>
      <c r="H819" s="5">
        <v>1255.5</v>
      </c>
      <c r="I819">
        <v>3.9</v>
      </c>
    </row>
    <row r="820" spans="1:9" x14ac:dyDescent="0.35">
      <c r="A820" t="s">
        <v>1168</v>
      </c>
      <c r="B820" s="1">
        <v>45976</v>
      </c>
      <c r="C820" t="s">
        <v>38</v>
      </c>
      <c r="D820" t="s">
        <v>12</v>
      </c>
      <c r="E820" t="s">
        <v>17</v>
      </c>
      <c r="F820">
        <v>5</v>
      </c>
      <c r="G820" s="6">
        <v>182.82</v>
      </c>
      <c r="H820" s="5">
        <v>914.1</v>
      </c>
      <c r="I820">
        <v>4.3</v>
      </c>
    </row>
    <row r="821" spans="1:9" x14ac:dyDescent="0.35">
      <c r="A821" t="s">
        <v>1169</v>
      </c>
      <c r="B821" s="1">
        <v>45879</v>
      </c>
      <c r="C821" t="s">
        <v>16</v>
      </c>
      <c r="D821" t="s">
        <v>12</v>
      </c>
      <c r="E821" t="s">
        <v>90</v>
      </c>
      <c r="F821">
        <v>1</v>
      </c>
      <c r="G821" s="6">
        <v>279.27</v>
      </c>
      <c r="H821" s="5">
        <v>279.27</v>
      </c>
      <c r="I821">
        <v>4.7</v>
      </c>
    </row>
    <row r="822" spans="1:9" x14ac:dyDescent="0.35">
      <c r="A822" t="s">
        <v>1170</v>
      </c>
      <c r="B822" s="1">
        <v>45811</v>
      </c>
      <c r="C822" t="s">
        <v>38</v>
      </c>
      <c r="D822" t="s">
        <v>12</v>
      </c>
      <c r="E822" t="s">
        <v>17</v>
      </c>
      <c r="F822">
        <v>12</v>
      </c>
      <c r="G822" s="6">
        <v>765.62</v>
      </c>
      <c r="H822" s="5">
        <v>9187.44</v>
      </c>
      <c r="I822">
        <v>3</v>
      </c>
    </row>
    <row r="823" spans="1:9" x14ac:dyDescent="0.35">
      <c r="A823" t="s">
        <v>1171</v>
      </c>
      <c r="B823" s="1">
        <v>45953</v>
      </c>
      <c r="C823" t="s">
        <v>16</v>
      </c>
      <c r="D823" t="s">
        <v>19</v>
      </c>
      <c r="E823" t="s">
        <v>20</v>
      </c>
      <c r="F823">
        <v>3</v>
      </c>
      <c r="G823" s="6">
        <v>696.97</v>
      </c>
      <c r="H823" s="5">
        <v>2090.91</v>
      </c>
      <c r="I823">
        <v>3.5</v>
      </c>
    </row>
    <row r="824" spans="1:9" x14ac:dyDescent="0.35">
      <c r="A824" t="s">
        <v>1172</v>
      </c>
      <c r="B824" s="1">
        <v>45817</v>
      </c>
      <c r="C824" t="s">
        <v>16</v>
      </c>
      <c r="D824" t="s">
        <v>12</v>
      </c>
      <c r="E824" t="s">
        <v>13</v>
      </c>
      <c r="F824">
        <v>20</v>
      </c>
      <c r="G824" s="6">
        <v>565.23</v>
      </c>
      <c r="H824" s="5">
        <v>11304.6</v>
      </c>
      <c r="I824">
        <v>4.8</v>
      </c>
    </row>
    <row r="825" spans="1:9" x14ac:dyDescent="0.35">
      <c r="A825" t="s">
        <v>1173</v>
      </c>
      <c r="B825" s="1">
        <v>45897</v>
      </c>
      <c r="C825" t="s">
        <v>11</v>
      </c>
      <c r="D825" t="s">
        <v>12</v>
      </c>
      <c r="E825" t="s">
        <v>90</v>
      </c>
      <c r="F825">
        <v>23</v>
      </c>
      <c r="G825" s="6">
        <v>1019.33</v>
      </c>
      <c r="H825" s="5">
        <v>23444.59</v>
      </c>
      <c r="I825">
        <v>4.3</v>
      </c>
    </row>
    <row r="826" spans="1:9" x14ac:dyDescent="0.35">
      <c r="A826" t="s">
        <v>1174</v>
      </c>
      <c r="B826" s="1">
        <v>45784</v>
      </c>
      <c r="C826" t="s">
        <v>11</v>
      </c>
      <c r="D826" t="s">
        <v>12</v>
      </c>
      <c r="E826" t="s">
        <v>90</v>
      </c>
      <c r="F826">
        <v>19</v>
      </c>
      <c r="G826" s="6">
        <v>219.17</v>
      </c>
      <c r="H826" s="5">
        <v>4164.2299999999996</v>
      </c>
      <c r="I826">
        <v>4.3</v>
      </c>
    </row>
    <row r="827" spans="1:9" x14ac:dyDescent="0.35">
      <c r="A827" t="s">
        <v>1175</v>
      </c>
      <c r="B827" s="1">
        <v>45667</v>
      </c>
      <c r="C827" t="s">
        <v>16</v>
      </c>
      <c r="D827" t="s">
        <v>12</v>
      </c>
      <c r="E827" t="s">
        <v>17</v>
      </c>
      <c r="F827">
        <v>6</v>
      </c>
      <c r="G827" s="6">
        <v>1311.38</v>
      </c>
      <c r="H827" s="5">
        <v>7868.28</v>
      </c>
      <c r="I827">
        <v>3.7</v>
      </c>
    </row>
    <row r="828" spans="1:9" x14ac:dyDescent="0.35">
      <c r="A828" t="s">
        <v>1176</v>
      </c>
      <c r="B828" s="1">
        <v>45850</v>
      </c>
      <c r="C828" t="s">
        <v>11</v>
      </c>
      <c r="D828" t="s">
        <v>19</v>
      </c>
      <c r="E828" t="s">
        <v>28</v>
      </c>
      <c r="F828">
        <v>22</v>
      </c>
      <c r="G828" s="6">
        <v>1167.75</v>
      </c>
      <c r="H828" s="5">
        <v>25690.5</v>
      </c>
      <c r="I828">
        <v>4.4000000000000004</v>
      </c>
    </row>
    <row r="829" spans="1:9" x14ac:dyDescent="0.35">
      <c r="A829" t="s">
        <v>1177</v>
      </c>
      <c r="B829" s="1">
        <v>45917</v>
      </c>
      <c r="C829" t="s">
        <v>16</v>
      </c>
      <c r="D829" t="s">
        <v>12</v>
      </c>
      <c r="E829" t="s">
        <v>17</v>
      </c>
      <c r="F829">
        <v>22</v>
      </c>
      <c r="G829" s="6">
        <v>589.16999999999996</v>
      </c>
      <c r="H829" s="5">
        <v>12961.74</v>
      </c>
      <c r="I829">
        <v>4.4000000000000004</v>
      </c>
    </row>
    <row r="830" spans="1:9" x14ac:dyDescent="0.35">
      <c r="A830" t="s">
        <v>1178</v>
      </c>
      <c r="B830" s="1">
        <v>45812</v>
      </c>
      <c r="C830" t="s">
        <v>16</v>
      </c>
      <c r="D830" t="s">
        <v>24</v>
      </c>
      <c r="E830" t="s">
        <v>25</v>
      </c>
      <c r="F830">
        <v>22</v>
      </c>
      <c r="G830" s="6">
        <v>582.05999999999995</v>
      </c>
      <c r="H830" s="5">
        <v>12805.32</v>
      </c>
      <c r="I830">
        <v>3.2</v>
      </c>
    </row>
    <row r="831" spans="1:9" x14ac:dyDescent="0.35">
      <c r="A831" t="s">
        <v>1179</v>
      </c>
      <c r="B831" s="1">
        <v>45755</v>
      </c>
      <c r="C831" t="s">
        <v>38</v>
      </c>
      <c r="D831" t="s">
        <v>24</v>
      </c>
      <c r="E831" t="s">
        <v>44</v>
      </c>
      <c r="F831">
        <v>8</v>
      </c>
      <c r="G831" s="6">
        <v>373.14</v>
      </c>
      <c r="H831" s="5">
        <v>2985.12</v>
      </c>
      <c r="I831">
        <v>3.4</v>
      </c>
    </row>
    <row r="832" spans="1:9" x14ac:dyDescent="0.35">
      <c r="A832" t="s">
        <v>1180</v>
      </c>
      <c r="B832" s="1">
        <v>45799</v>
      </c>
      <c r="C832" t="s">
        <v>23</v>
      </c>
      <c r="D832" t="s">
        <v>24</v>
      </c>
      <c r="E832" t="s">
        <v>44</v>
      </c>
      <c r="F832">
        <v>20</v>
      </c>
      <c r="G832" s="6">
        <v>756.78</v>
      </c>
      <c r="H832" s="5">
        <v>15135.6</v>
      </c>
      <c r="I832">
        <v>3.3</v>
      </c>
    </row>
    <row r="833" spans="1:9" x14ac:dyDescent="0.35">
      <c r="A833" t="s">
        <v>1181</v>
      </c>
      <c r="B833" s="1">
        <v>45877</v>
      </c>
      <c r="C833" t="s">
        <v>23</v>
      </c>
      <c r="D833" t="s">
        <v>19</v>
      </c>
      <c r="E833" t="s">
        <v>31</v>
      </c>
      <c r="F833">
        <v>6</v>
      </c>
      <c r="G833" s="6">
        <v>31.17</v>
      </c>
      <c r="H833" s="5">
        <v>187.02</v>
      </c>
      <c r="I833">
        <v>4.5999999999999996</v>
      </c>
    </row>
    <row r="834" spans="1:9" x14ac:dyDescent="0.35">
      <c r="A834" t="s">
        <v>1182</v>
      </c>
      <c r="B834" s="1">
        <v>45743</v>
      </c>
      <c r="C834" t="s">
        <v>23</v>
      </c>
      <c r="D834" t="s">
        <v>24</v>
      </c>
      <c r="E834" t="s">
        <v>44</v>
      </c>
      <c r="F834">
        <v>21</v>
      </c>
      <c r="G834" s="6">
        <v>1479.41</v>
      </c>
      <c r="H834" s="5">
        <v>31067.61</v>
      </c>
      <c r="I834">
        <v>4.5999999999999996</v>
      </c>
    </row>
    <row r="835" spans="1:9" x14ac:dyDescent="0.35">
      <c r="A835" t="s">
        <v>1183</v>
      </c>
      <c r="B835" s="1">
        <v>45828</v>
      </c>
      <c r="C835" t="s">
        <v>11</v>
      </c>
      <c r="D835" t="s">
        <v>24</v>
      </c>
      <c r="E835" t="s">
        <v>25</v>
      </c>
      <c r="F835">
        <v>23</v>
      </c>
      <c r="G835" s="6">
        <v>1484.72</v>
      </c>
      <c r="H835" s="5">
        <v>34148.559999999998</v>
      </c>
      <c r="I835">
        <v>3.4</v>
      </c>
    </row>
    <row r="836" spans="1:9" x14ac:dyDescent="0.35">
      <c r="A836" t="s">
        <v>1184</v>
      </c>
      <c r="B836" s="1">
        <v>46015</v>
      </c>
      <c r="C836" t="s">
        <v>38</v>
      </c>
      <c r="D836" t="s">
        <v>19</v>
      </c>
      <c r="E836" t="s">
        <v>31</v>
      </c>
      <c r="F836">
        <v>25</v>
      </c>
      <c r="G836" s="6">
        <v>1222.3699999999999</v>
      </c>
      <c r="H836" s="5">
        <v>30559.25</v>
      </c>
      <c r="I836">
        <v>4.9000000000000004</v>
      </c>
    </row>
    <row r="837" spans="1:9" x14ac:dyDescent="0.35">
      <c r="A837" t="s">
        <v>1185</v>
      </c>
      <c r="B837" s="1">
        <v>45809</v>
      </c>
      <c r="C837" t="s">
        <v>23</v>
      </c>
      <c r="D837" t="s">
        <v>24</v>
      </c>
      <c r="E837" t="s">
        <v>25</v>
      </c>
      <c r="F837">
        <v>9</v>
      </c>
      <c r="G837" s="6">
        <v>779.37</v>
      </c>
      <c r="H837" s="5">
        <v>7014.33</v>
      </c>
      <c r="I837">
        <v>4.3</v>
      </c>
    </row>
    <row r="838" spans="1:9" x14ac:dyDescent="0.35">
      <c r="A838" t="s">
        <v>1186</v>
      </c>
      <c r="B838" s="1">
        <v>45845</v>
      </c>
      <c r="C838" t="s">
        <v>23</v>
      </c>
      <c r="D838" t="s">
        <v>24</v>
      </c>
      <c r="E838" t="s">
        <v>44</v>
      </c>
      <c r="F838">
        <v>1</v>
      </c>
      <c r="G838" s="6">
        <v>830.6</v>
      </c>
      <c r="H838" s="5">
        <v>830.6</v>
      </c>
      <c r="I838">
        <v>4.3</v>
      </c>
    </row>
    <row r="839" spans="1:9" x14ac:dyDescent="0.35">
      <c r="A839" t="s">
        <v>1187</v>
      </c>
      <c r="B839" s="1">
        <v>45883</v>
      </c>
      <c r="C839" t="s">
        <v>16</v>
      </c>
      <c r="D839" t="s">
        <v>24</v>
      </c>
      <c r="E839" t="s">
        <v>44</v>
      </c>
      <c r="F839">
        <v>3</v>
      </c>
      <c r="G839" s="6">
        <v>1043.3499999999999</v>
      </c>
      <c r="H839" s="5">
        <v>3130.05</v>
      </c>
      <c r="I839">
        <v>3.3</v>
      </c>
    </row>
    <row r="840" spans="1:9" x14ac:dyDescent="0.35">
      <c r="A840" t="s">
        <v>1188</v>
      </c>
      <c r="B840" s="1">
        <v>45853</v>
      </c>
      <c r="C840" t="s">
        <v>38</v>
      </c>
      <c r="D840" t="s">
        <v>24</v>
      </c>
      <c r="E840" t="s">
        <v>44</v>
      </c>
      <c r="F840">
        <v>17</v>
      </c>
      <c r="G840" s="6">
        <v>1343.73</v>
      </c>
      <c r="H840" s="5">
        <v>22843.41</v>
      </c>
      <c r="I840">
        <v>3.8</v>
      </c>
    </row>
    <row r="841" spans="1:9" x14ac:dyDescent="0.35">
      <c r="A841" t="s">
        <v>1190</v>
      </c>
      <c r="B841" s="1">
        <v>45967</v>
      </c>
      <c r="C841" t="s">
        <v>38</v>
      </c>
      <c r="D841" t="s">
        <v>24</v>
      </c>
      <c r="E841" t="s">
        <v>25</v>
      </c>
      <c r="F841">
        <v>22</v>
      </c>
      <c r="G841" s="6">
        <v>171.08</v>
      </c>
      <c r="H841" s="5">
        <v>3763.76</v>
      </c>
      <c r="I841">
        <v>4.4000000000000004</v>
      </c>
    </row>
    <row r="842" spans="1:9" x14ac:dyDescent="0.35">
      <c r="A842" t="s">
        <v>1191</v>
      </c>
      <c r="B842" s="1">
        <v>45766</v>
      </c>
      <c r="C842" t="s">
        <v>23</v>
      </c>
      <c r="D842" t="s">
        <v>24</v>
      </c>
      <c r="E842" t="s">
        <v>44</v>
      </c>
      <c r="F842">
        <v>11</v>
      </c>
      <c r="G842" s="6">
        <v>759.37</v>
      </c>
      <c r="H842" s="5">
        <v>8353.07</v>
      </c>
      <c r="I842">
        <v>3.8</v>
      </c>
    </row>
    <row r="843" spans="1:9" x14ac:dyDescent="0.35">
      <c r="A843" t="s">
        <v>1192</v>
      </c>
      <c r="B843" s="1">
        <v>45818</v>
      </c>
      <c r="C843" t="s">
        <v>11</v>
      </c>
      <c r="D843" t="s">
        <v>24</v>
      </c>
      <c r="E843" t="s">
        <v>44</v>
      </c>
      <c r="F843">
        <v>16</v>
      </c>
      <c r="G843" s="6">
        <v>358.93</v>
      </c>
      <c r="H843" s="5">
        <v>5742.88</v>
      </c>
      <c r="I843">
        <v>3.1</v>
      </c>
    </row>
    <row r="844" spans="1:9" x14ac:dyDescent="0.35">
      <c r="A844" t="s">
        <v>1193</v>
      </c>
      <c r="B844" s="1">
        <v>45930</v>
      </c>
      <c r="C844" t="s">
        <v>23</v>
      </c>
      <c r="D844" t="s">
        <v>19</v>
      </c>
      <c r="E844" t="s">
        <v>20</v>
      </c>
      <c r="F844">
        <v>1</v>
      </c>
      <c r="G844" s="6">
        <v>27.85</v>
      </c>
      <c r="H844" s="5">
        <v>27.85</v>
      </c>
      <c r="I844">
        <v>4.9000000000000004</v>
      </c>
    </row>
    <row r="845" spans="1:9" x14ac:dyDescent="0.35">
      <c r="A845" t="s">
        <v>1194</v>
      </c>
      <c r="B845" s="1">
        <v>45947</v>
      </c>
      <c r="C845" t="s">
        <v>38</v>
      </c>
      <c r="D845" t="s">
        <v>24</v>
      </c>
      <c r="E845" t="s">
        <v>69</v>
      </c>
      <c r="F845">
        <v>25</v>
      </c>
      <c r="G845" s="6">
        <v>700.45</v>
      </c>
      <c r="H845" s="5">
        <v>17511.25</v>
      </c>
      <c r="I845">
        <v>3.1</v>
      </c>
    </row>
    <row r="846" spans="1:9" x14ac:dyDescent="0.35">
      <c r="A846" t="s">
        <v>1195</v>
      </c>
      <c r="B846" s="1">
        <v>45808</v>
      </c>
      <c r="C846" t="s">
        <v>11</v>
      </c>
      <c r="D846" t="s">
        <v>24</v>
      </c>
      <c r="E846" t="s">
        <v>44</v>
      </c>
      <c r="F846">
        <v>9</v>
      </c>
      <c r="G846" s="6">
        <v>1211.7</v>
      </c>
      <c r="H846" s="5">
        <v>10905.3</v>
      </c>
      <c r="I846">
        <v>4.2</v>
      </c>
    </row>
    <row r="847" spans="1:9" x14ac:dyDescent="0.35">
      <c r="A847" t="s">
        <v>1196</v>
      </c>
      <c r="B847" s="1">
        <v>45832</v>
      </c>
      <c r="C847" t="s">
        <v>16</v>
      </c>
      <c r="D847" t="s">
        <v>19</v>
      </c>
      <c r="E847" t="s">
        <v>28</v>
      </c>
      <c r="F847">
        <v>7</v>
      </c>
      <c r="G847" s="6">
        <v>513.01</v>
      </c>
      <c r="H847" s="5">
        <v>3591.07</v>
      </c>
      <c r="I847">
        <v>3.8</v>
      </c>
    </row>
    <row r="848" spans="1:9" x14ac:dyDescent="0.35">
      <c r="A848" t="s">
        <v>1197</v>
      </c>
      <c r="B848" s="1">
        <v>45848</v>
      </c>
      <c r="C848" t="s">
        <v>23</v>
      </c>
      <c r="D848" t="s">
        <v>19</v>
      </c>
      <c r="E848" t="s">
        <v>20</v>
      </c>
      <c r="F848">
        <v>17</v>
      </c>
      <c r="G848" s="6">
        <v>970.51</v>
      </c>
      <c r="H848" s="5">
        <v>16498.669999999998</v>
      </c>
      <c r="I848">
        <v>4.2</v>
      </c>
    </row>
    <row r="849" spans="1:9" x14ac:dyDescent="0.35">
      <c r="A849" t="s">
        <v>1198</v>
      </c>
      <c r="B849" s="1">
        <v>45679</v>
      </c>
      <c r="C849" t="s">
        <v>16</v>
      </c>
      <c r="D849" t="s">
        <v>19</v>
      </c>
      <c r="E849" t="s">
        <v>28</v>
      </c>
      <c r="F849">
        <v>19</v>
      </c>
      <c r="G849" s="6">
        <v>199.95</v>
      </c>
      <c r="H849" s="5">
        <v>3799.05</v>
      </c>
      <c r="I849">
        <v>3.1</v>
      </c>
    </row>
    <row r="850" spans="1:9" x14ac:dyDescent="0.35">
      <c r="A850" t="s">
        <v>1199</v>
      </c>
      <c r="B850" s="1">
        <v>45861</v>
      </c>
      <c r="C850" t="s">
        <v>38</v>
      </c>
      <c r="D850" t="s">
        <v>12</v>
      </c>
      <c r="E850" t="s">
        <v>90</v>
      </c>
      <c r="F850">
        <v>3</v>
      </c>
      <c r="G850" s="6">
        <v>701.91</v>
      </c>
      <c r="H850" s="5">
        <v>2105.73</v>
      </c>
      <c r="I850">
        <v>4.5999999999999996</v>
      </c>
    </row>
    <row r="851" spans="1:9" x14ac:dyDescent="0.35">
      <c r="A851" t="s">
        <v>1200</v>
      </c>
      <c r="B851" s="1">
        <v>45979</v>
      </c>
      <c r="C851" t="s">
        <v>23</v>
      </c>
      <c r="D851" t="s">
        <v>24</v>
      </c>
      <c r="E851" t="s">
        <v>25</v>
      </c>
      <c r="F851">
        <v>20</v>
      </c>
      <c r="G851" s="6">
        <v>1274.69</v>
      </c>
      <c r="H851" s="5">
        <v>25493.8</v>
      </c>
      <c r="I851">
        <v>5</v>
      </c>
    </row>
    <row r="852" spans="1:9" x14ac:dyDescent="0.35">
      <c r="A852" t="s">
        <v>1201</v>
      </c>
      <c r="B852" s="1">
        <v>45766</v>
      </c>
      <c r="C852" t="s">
        <v>11</v>
      </c>
      <c r="D852" t="s">
        <v>19</v>
      </c>
      <c r="E852" t="s">
        <v>28</v>
      </c>
      <c r="F852">
        <v>24</v>
      </c>
      <c r="G852" s="6">
        <v>581.91999999999996</v>
      </c>
      <c r="H852" s="5">
        <v>13966.08</v>
      </c>
      <c r="I852">
        <v>3.9</v>
      </c>
    </row>
    <row r="853" spans="1:9" x14ac:dyDescent="0.35">
      <c r="A853" t="s">
        <v>1202</v>
      </c>
      <c r="B853" s="1">
        <v>45910</v>
      </c>
      <c r="C853" t="s">
        <v>16</v>
      </c>
      <c r="D853" t="s">
        <v>19</v>
      </c>
      <c r="E853" t="s">
        <v>31</v>
      </c>
      <c r="F853">
        <v>23</v>
      </c>
      <c r="G853" s="6">
        <v>462.55</v>
      </c>
      <c r="H853" s="5">
        <v>10638.65</v>
      </c>
      <c r="I853">
        <v>3.4</v>
      </c>
    </row>
    <row r="854" spans="1:9" x14ac:dyDescent="0.35">
      <c r="A854" t="s">
        <v>1203</v>
      </c>
      <c r="B854" s="1">
        <v>45923</v>
      </c>
      <c r="C854" t="s">
        <v>11</v>
      </c>
      <c r="D854" t="s">
        <v>24</v>
      </c>
      <c r="E854" t="s">
        <v>69</v>
      </c>
      <c r="F854">
        <v>10</v>
      </c>
      <c r="G854" s="6">
        <v>543.51</v>
      </c>
      <c r="H854" s="5">
        <v>5435.1</v>
      </c>
      <c r="I854">
        <v>4.2</v>
      </c>
    </row>
    <row r="855" spans="1:9" x14ac:dyDescent="0.35">
      <c r="A855" t="s">
        <v>1205</v>
      </c>
      <c r="B855" s="1">
        <v>45881</v>
      </c>
      <c r="C855" t="s">
        <v>38</v>
      </c>
      <c r="D855" t="s">
        <v>19</v>
      </c>
      <c r="E855" t="s">
        <v>20</v>
      </c>
      <c r="F855">
        <v>10</v>
      </c>
      <c r="G855" s="6">
        <v>916.13</v>
      </c>
      <c r="H855" s="5">
        <v>9161.2999999999993</v>
      </c>
      <c r="I855">
        <v>4.2</v>
      </c>
    </row>
    <row r="856" spans="1:9" x14ac:dyDescent="0.35">
      <c r="A856" t="s">
        <v>1206</v>
      </c>
      <c r="B856" s="1">
        <v>45891</v>
      </c>
      <c r="C856" t="s">
        <v>23</v>
      </c>
      <c r="D856" t="s">
        <v>12</v>
      </c>
      <c r="E856" t="s">
        <v>17</v>
      </c>
      <c r="F856">
        <v>23</v>
      </c>
      <c r="G856" s="6">
        <v>1353.98</v>
      </c>
      <c r="H856" s="5">
        <v>31141.54</v>
      </c>
      <c r="I856">
        <v>3.6</v>
      </c>
    </row>
    <row r="857" spans="1:9" x14ac:dyDescent="0.35">
      <c r="A857" t="s">
        <v>1207</v>
      </c>
      <c r="B857" s="1">
        <v>45801</v>
      </c>
      <c r="C857" t="s">
        <v>16</v>
      </c>
      <c r="D857" t="s">
        <v>12</v>
      </c>
      <c r="E857" t="s">
        <v>90</v>
      </c>
      <c r="F857">
        <v>5</v>
      </c>
      <c r="G857" s="6">
        <v>98.25</v>
      </c>
      <c r="H857" s="5">
        <v>491.25</v>
      </c>
      <c r="I857">
        <v>4.0999999999999996</v>
      </c>
    </row>
    <row r="858" spans="1:9" x14ac:dyDescent="0.35">
      <c r="A858" t="s">
        <v>1208</v>
      </c>
      <c r="B858" s="1">
        <v>45899</v>
      </c>
      <c r="C858" t="s">
        <v>23</v>
      </c>
      <c r="D858" t="s">
        <v>24</v>
      </c>
      <c r="E858" t="s">
        <v>25</v>
      </c>
      <c r="F858">
        <v>2</v>
      </c>
      <c r="G858" s="6">
        <v>48.38</v>
      </c>
      <c r="H858" s="5">
        <v>96.76</v>
      </c>
      <c r="I858">
        <v>4.2</v>
      </c>
    </row>
    <row r="859" spans="1:9" x14ac:dyDescent="0.35">
      <c r="A859" t="s">
        <v>1209</v>
      </c>
      <c r="B859" s="1">
        <v>45891</v>
      </c>
      <c r="C859" t="s">
        <v>38</v>
      </c>
      <c r="D859" t="s">
        <v>12</v>
      </c>
      <c r="E859" t="s">
        <v>17</v>
      </c>
      <c r="F859">
        <v>12</v>
      </c>
      <c r="G859" s="6">
        <v>788.01</v>
      </c>
      <c r="H859" s="5">
        <v>9456.1200000000008</v>
      </c>
      <c r="I859">
        <v>3.3</v>
      </c>
    </row>
    <row r="860" spans="1:9" x14ac:dyDescent="0.35">
      <c r="A860" t="s">
        <v>1210</v>
      </c>
      <c r="B860" s="1">
        <v>45991</v>
      </c>
      <c r="C860" t="s">
        <v>23</v>
      </c>
      <c r="D860" t="s">
        <v>24</v>
      </c>
      <c r="E860" t="s">
        <v>44</v>
      </c>
      <c r="F860">
        <v>21</v>
      </c>
      <c r="G860" s="6">
        <v>960.96</v>
      </c>
      <c r="H860" s="5">
        <v>20180.16</v>
      </c>
      <c r="I860">
        <v>4.3</v>
      </c>
    </row>
    <row r="861" spans="1:9" x14ac:dyDescent="0.35">
      <c r="A861" t="s">
        <v>1211</v>
      </c>
      <c r="B861" s="1">
        <v>45698</v>
      </c>
      <c r="C861" t="s">
        <v>23</v>
      </c>
      <c r="D861" t="s">
        <v>24</v>
      </c>
      <c r="E861" t="s">
        <v>25</v>
      </c>
      <c r="F861">
        <v>3</v>
      </c>
      <c r="G861" s="6">
        <v>1167.74</v>
      </c>
      <c r="H861" s="5">
        <v>3503.22</v>
      </c>
      <c r="I861">
        <v>4.7</v>
      </c>
    </row>
    <row r="862" spans="1:9" x14ac:dyDescent="0.35">
      <c r="A862" t="s">
        <v>1212</v>
      </c>
      <c r="B862" s="1">
        <v>45693</v>
      </c>
      <c r="C862" t="s">
        <v>23</v>
      </c>
      <c r="D862" t="s">
        <v>24</v>
      </c>
      <c r="E862" t="s">
        <v>44</v>
      </c>
      <c r="F862">
        <v>24</v>
      </c>
      <c r="G862" s="6">
        <v>1049.6099999999999</v>
      </c>
      <c r="H862" s="5">
        <v>25190.639999999999</v>
      </c>
      <c r="I862">
        <v>3.6</v>
      </c>
    </row>
    <row r="863" spans="1:9" x14ac:dyDescent="0.35">
      <c r="A863" t="s">
        <v>1213</v>
      </c>
      <c r="B863" s="1">
        <v>45832</v>
      </c>
      <c r="C863" t="s">
        <v>11</v>
      </c>
      <c r="D863" t="s">
        <v>19</v>
      </c>
      <c r="E863" t="s">
        <v>20</v>
      </c>
      <c r="F863">
        <v>15</v>
      </c>
      <c r="G863" s="6">
        <v>885.46</v>
      </c>
      <c r="H863" s="5">
        <v>13281.9</v>
      </c>
      <c r="I863">
        <v>4.0999999999999996</v>
      </c>
    </row>
    <row r="864" spans="1:9" x14ac:dyDescent="0.35">
      <c r="A864" t="s">
        <v>1214</v>
      </c>
      <c r="B864" s="1">
        <v>45700</v>
      </c>
      <c r="C864" t="s">
        <v>11</v>
      </c>
      <c r="D864" t="s">
        <v>24</v>
      </c>
      <c r="E864" t="s">
        <v>25</v>
      </c>
      <c r="F864">
        <v>6</v>
      </c>
      <c r="G864" s="6">
        <v>352.54</v>
      </c>
      <c r="H864" s="5">
        <v>2115.2399999999998</v>
      </c>
      <c r="I864">
        <v>3.7</v>
      </c>
    </row>
    <row r="865" spans="1:9" x14ac:dyDescent="0.35">
      <c r="A865" t="s">
        <v>1215</v>
      </c>
      <c r="B865" s="1">
        <v>45773</v>
      </c>
      <c r="C865" t="s">
        <v>38</v>
      </c>
      <c r="D865" t="s">
        <v>19</v>
      </c>
      <c r="E865" t="s">
        <v>20</v>
      </c>
      <c r="F865">
        <v>7</v>
      </c>
      <c r="G865" s="6">
        <v>80.239999999999995</v>
      </c>
      <c r="H865" s="5">
        <v>561.67999999999995</v>
      </c>
      <c r="I865">
        <v>4.8</v>
      </c>
    </row>
    <row r="866" spans="1:9" x14ac:dyDescent="0.35">
      <c r="A866" t="s">
        <v>1216</v>
      </c>
      <c r="B866" s="1">
        <v>45973</v>
      </c>
      <c r="C866" t="s">
        <v>38</v>
      </c>
      <c r="D866" t="s">
        <v>24</v>
      </c>
      <c r="E866" t="s">
        <v>69</v>
      </c>
      <c r="F866">
        <v>18</v>
      </c>
      <c r="G866" s="6">
        <v>716</v>
      </c>
      <c r="H866" s="5">
        <v>12888</v>
      </c>
      <c r="I866">
        <v>4.5999999999999996</v>
      </c>
    </row>
    <row r="867" spans="1:9" x14ac:dyDescent="0.35">
      <c r="A867" t="s">
        <v>1217</v>
      </c>
      <c r="B867" s="1">
        <v>45937</v>
      </c>
      <c r="C867" t="s">
        <v>11</v>
      </c>
      <c r="D867" t="s">
        <v>12</v>
      </c>
      <c r="E867" t="s">
        <v>90</v>
      </c>
      <c r="F867">
        <v>18</v>
      </c>
      <c r="G867" s="6">
        <v>1110.5999999999999</v>
      </c>
      <c r="H867" s="5">
        <v>19990.8</v>
      </c>
      <c r="I867">
        <v>3.1</v>
      </c>
    </row>
    <row r="868" spans="1:9" x14ac:dyDescent="0.35">
      <c r="A868" t="s">
        <v>1218</v>
      </c>
      <c r="B868" s="1">
        <v>45962</v>
      </c>
      <c r="C868" t="s">
        <v>38</v>
      </c>
      <c r="D868" t="s">
        <v>24</v>
      </c>
      <c r="E868" t="s">
        <v>44</v>
      </c>
      <c r="F868">
        <v>12</v>
      </c>
      <c r="G868" s="6">
        <v>494.75</v>
      </c>
      <c r="H868" s="5">
        <v>5937</v>
      </c>
      <c r="I868">
        <v>3.7</v>
      </c>
    </row>
    <row r="869" spans="1:9" x14ac:dyDescent="0.35">
      <c r="A869" t="s">
        <v>1219</v>
      </c>
      <c r="B869" s="1">
        <v>45914</v>
      </c>
      <c r="C869" t="s">
        <v>23</v>
      </c>
      <c r="D869" t="s">
        <v>24</v>
      </c>
      <c r="E869" t="s">
        <v>25</v>
      </c>
      <c r="F869">
        <v>17</v>
      </c>
      <c r="G869" s="6">
        <v>720.23</v>
      </c>
      <c r="H869" s="5">
        <v>12243.91</v>
      </c>
      <c r="I869">
        <v>4.4000000000000004</v>
      </c>
    </row>
    <row r="870" spans="1:9" x14ac:dyDescent="0.35">
      <c r="A870" t="s">
        <v>1220</v>
      </c>
      <c r="B870" s="1">
        <v>46016</v>
      </c>
      <c r="C870" t="s">
        <v>11</v>
      </c>
      <c r="D870" t="s">
        <v>24</v>
      </c>
      <c r="E870" t="s">
        <v>25</v>
      </c>
      <c r="F870">
        <v>11</v>
      </c>
      <c r="G870" s="6">
        <v>936.61</v>
      </c>
      <c r="H870" s="5">
        <v>10302.709999999999</v>
      </c>
      <c r="I870">
        <v>3.4</v>
      </c>
    </row>
    <row r="871" spans="1:9" x14ac:dyDescent="0.35">
      <c r="A871" t="s">
        <v>1221</v>
      </c>
      <c r="B871" s="1">
        <v>45987</v>
      </c>
      <c r="C871" t="s">
        <v>23</v>
      </c>
      <c r="D871" t="s">
        <v>19</v>
      </c>
      <c r="E871" t="s">
        <v>20</v>
      </c>
      <c r="F871">
        <v>10</v>
      </c>
      <c r="G871" s="6">
        <v>1267.6500000000001</v>
      </c>
      <c r="H871" s="5">
        <v>12676.5</v>
      </c>
      <c r="I871">
        <v>3.1</v>
      </c>
    </row>
    <row r="872" spans="1:9" x14ac:dyDescent="0.35">
      <c r="A872" t="s">
        <v>1222</v>
      </c>
      <c r="B872" s="1">
        <v>45701</v>
      </c>
      <c r="C872" t="s">
        <v>38</v>
      </c>
      <c r="D872" t="s">
        <v>12</v>
      </c>
      <c r="E872" t="s">
        <v>17</v>
      </c>
      <c r="F872">
        <v>16</v>
      </c>
      <c r="G872" s="6">
        <v>109.03</v>
      </c>
      <c r="H872" s="5">
        <v>1744.48</v>
      </c>
      <c r="I872">
        <v>4.5</v>
      </c>
    </row>
    <row r="873" spans="1:9" x14ac:dyDescent="0.35">
      <c r="A873" t="s">
        <v>1223</v>
      </c>
      <c r="B873" s="1">
        <v>45855</v>
      </c>
      <c r="C873" t="s">
        <v>11</v>
      </c>
      <c r="D873" t="s">
        <v>12</v>
      </c>
      <c r="E873" t="s">
        <v>17</v>
      </c>
      <c r="F873">
        <v>9</v>
      </c>
      <c r="G873" s="6">
        <v>901.94</v>
      </c>
      <c r="H873" s="5">
        <v>8117.46</v>
      </c>
      <c r="I873">
        <v>5</v>
      </c>
    </row>
    <row r="874" spans="1:9" x14ac:dyDescent="0.35">
      <c r="A874" t="s">
        <v>1225</v>
      </c>
      <c r="B874" s="1">
        <v>45816</v>
      </c>
      <c r="C874" t="s">
        <v>11</v>
      </c>
      <c r="D874" t="s">
        <v>24</v>
      </c>
      <c r="E874" t="s">
        <v>44</v>
      </c>
      <c r="F874">
        <v>19</v>
      </c>
      <c r="G874" s="6">
        <v>569.39</v>
      </c>
      <c r="H874" s="5">
        <v>10818.41</v>
      </c>
      <c r="I874">
        <v>4.2</v>
      </c>
    </row>
    <row r="875" spans="1:9" x14ac:dyDescent="0.35">
      <c r="A875" t="s">
        <v>1226</v>
      </c>
      <c r="B875" s="1">
        <v>45939</v>
      </c>
      <c r="C875" t="s">
        <v>11</v>
      </c>
      <c r="D875" t="s">
        <v>24</v>
      </c>
      <c r="E875" t="s">
        <v>69</v>
      </c>
      <c r="F875">
        <v>1</v>
      </c>
      <c r="G875" s="6">
        <v>1087.23</v>
      </c>
      <c r="H875" s="5">
        <v>1087.23</v>
      </c>
      <c r="I875">
        <v>3.4</v>
      </c>
    </row>
    <row r="876" spans="1:9" x14ac:dyDescent="0.35">
      <c r="A876" t="s">
        <v>1227</v>
      </c>
      <c r="B876" s="1">
        <v>45784</v>
      </c>
      <c r="C876" t="s">
        <v>38</v>
      </c>
      <c r="D876" t="s">
        <v>19</v>
      </c>
      <c r="E876" t="s">
        <v>20</v>
      </c>
      <c r="F876">
        <v>10</v>
      </c>
      <c r="G876" s="6">
        <v>302</v>
      </c>
      <c r="H876" s="5">
        <v>3020</v>
      </c>
      <c r="I876">
        <v>3.3</v>
      </c>
    </row>
    <row r="877" spans="1:9" x14ac:dyDescent="0.35">
      <c r="A877" t="s">
        <v>1228</v>
      </c>
      <c r="B877" s="1">
        <v>45745</v>
      </c>
      <c r="C877" t="s">
        <v>38</v>
      </c>
      <c r="D877" t="s">
        <v>24</v>
      </c>
      <c r="E877" t="s">
        <v>25</v>
      </c>
      <c r="F877">
        <v>14</v>
      </c>
      <c r="G877" s="6">
        <v>1188.44</v>
      </c>
      <c r="H877" s="5">
        <v>16638.16</v>
      </c>
      <c r="I877">
        <v>3</v>
      </c>
    </row>
    <row r="878" spans="1:9" x14ac:dyDescent="0.35">
      <c r="A878" t="s">
        <v>1229</v>
      </c>
      <c r="B878" s="1">
        <v>45704</v>
      </c>
      <c r="C878" t="s">
        <v>38</v>
      </c>
      <c r="D878" t="s">
        <v>24</v>
      </c>
      <c r="E878" t="s">
        <v>69</v>
      </c>
      <c r="F878">
        <v>8</v>
      </c>
      <c r="G878" s="6">
        <v>78.87</v>
      </c>
      <c r="H878" s="5">
        <v>630.96</v>
      </c>
      <c r="I878">
        <v>3.9</v>
      </c>
    </row>
    <row r="879" spans="1:9" x14ac:dyDescent="0.35">
      <c r="A879" t="s">
        <v>1230</v>
      </c>
      <c r="B879" s="1">
        <v>45687</v>
      </c>
      <c r="C879" t="s">
        <v>11</v>
      </c>
      <c r="D879" t="s">
        <v>24</v>
      </c>
      <c r="E879" t="s">
        <v>25</v>
      </c>
      <c r="F879">
        <v>8</v>
      </c>
      <c r="G879" s="6">
        <v>343.48</v>
      </c>
      <c r="H879" s="5">
        <v>2747.84</v>
      </c>
      <c r="I879">
        <v>4.3</v>
      </c>
    </row>
    <row r="880" spans="1:9" x14ac:dyDescent="0.35">
      <c r="A880" t="s">
        <v>1231</v>
      </c>
      <c r="B880" s="1">
        <v>45929</v>
      </c>
      <c r="C880" t="s">
        <v>11</v>
      </c>
      <c r="D880" t="s">
        <v>24</v>
      </c>
      <c r="E880" t="s">
        <v>44</v>
      </c>
      <c r="F880">
        <v>23</v>
      </c>
      <c r="G880" s="6">
        <v>626.53</v>
      </c>
      <c r="H880" s="5">
        <v>14410.19</v>
      </c>
      <c r="I880">
        <v>3.3</v>
      </c>
    </row>
    <row r="881" spans="1:9" x14ac:dyDescent="0.35">
      <c r="A881" t="s">
        <v>1232</v>
      </c>
      <c r="B881" s="1">
        <v>45753</v>
      </c>
      <c r="C881" t="s">
        <v>11</v>
      </c>
      <c r="D881" t="s">
        <v>19</v>
      </c>
      <c r="E881" t="s">
        <v>20</v>
      </c>
      <c r="F881">
        <v>7</v>
      </c>
      <c r="G881" s="6">
        <v>994.3</v>
      </c>
      <c r="H881" s="5">
        <v>6960.1</v>
      </c>
      <c r="I881">
        <v>3.9</v>
      </c>
    </row>
    <row r="882" spans="1:9" x14ac:dyDescent="0.35">
      <c r="A882" t="s">
        <v>1233</v>
      </c>
      <c r="B882" s="1">
        <v>46007</v>
      </c>
      <c r="C882" t="s">
        <v>23</v>
      </c>
      <c r="D882" t="s">
        <v>24</v>
      </c>
      <c r="E882" t="s">
        <v>69</v>
      </c>
      <c r="F882">
        <v>24</v>
      </c>
      <c r="G882" s="6">
        <v>939.19</v>
      </c>
      <c r="H882" s="5">
        <v>22540.560000000001</v>
      </c>
      <c r="I882">
        <v>4.5999999999999996</v>
      </c>
    </row>
    <row r="883" spans="1:9" x14ac:dyDescent="0.35">
      <c r="A883" t="s">
        <v>1234</v>
      </c>
      <c r="B883" s="1">
        <v>45703</v>
      </c>
      <c r="C883" t="s">
        <v>38</v>
      </c>
      <c r="D883" t="s">
        <v>12</v>
      </c>
      <c r="E883" t="s">
        <v>90</v>
      </c>
      <c r="F883">
        <v>20</v>
      </c>
      <c r="G883" s="6">
        <v>958.32</v>
      </c>
      <c r="H883" s="5">
        <v>19166.400000000001</v>
      </c>
      <c r="I883">
        <v>3.3</v>
      </c>
    </row>
    <row r="884" spans="1:9" x14ac:dyDescent="0.35">
      <c r="A884" t="s">
        <v>1235</v>
      </c>
      <c r="B884" s="1">
        <v>45747</v>
      </c>
      <c r="C884" t="s">
        <v>11</v>
      </c>
      <c r="D884" t="s">
        <v>12</v>
      </c>
      <c r="E884" t="s">
        <v>13</v>
      </c>
      <c r="F884">
        <v>22</v>
      </c>
      <c r="G884" s="6">
        <v>295.37</v>
      </c>
      <c r="H884" s="5">
        <v>6498.14</v>
      </c>
      <c r="I884">
        <v>4.5</v>
      </c>
    </row>
    <row r="885" spans="1:9" x14ac:dyDescent="0.35">
      <c r="A885" t="s">
        <v>1236</v>
      </c>
      <c r="B885" s="1">
        <v>45722</v>
      </c>
      <c r="C885" t="s">
        <v>38</v>
      </c>
      <c r="D885" t="s">
        <v>12</v>
      </c>
      <c r="E885" t="s">
        <v>17</v>
      </c>
      <c r="F885">
        <v>24</v>
      </c>
      <c r="G885" s="6">
        <v>548.67999999999995</v>
      </c>
      <c r="H885" s="5">
        <v>13168.32</v>
      </c>
      <c r="I885">
        <v>3.8</v>
      </c>
    </row>
    <row r="886" spans="1:9" x14ac:dyDescent="0.35">
      <c r="A886" t="s">
        <v>1237</v>
      </c>
      <c r="B886" s="1">
        <v>45913</v>
      </c>
      <c r="C886" t="s">
        <v>11</v>
      </c>
      <c r="D886" t="s">
        <v>12</v>
      </c>
      <c r="E886" t="s">
        <v>90</v>
      </c>
      <c r="F886">
        <v>2</v>
      </c>
      <c r="G886" s="6">
        <v>712.44</v>
      </c>
      <c r="H886" s="5">
        <v>1424.88</v>
      </c>
      <c r="I886">
        <v>5</v>
      </c>
    </row>
    <row r="887" spans="1:9" x14ac:dyDescent="0.35">
      <c r="A887" t="s">
        <v>1238</v>
      </c>
      <c r="B887" s="1">
        <v>45737</v>
      </c>
      <c r="C887" t="s">
        <v>11</v>
      </c>
      <c r="D887" t="s">
        <v>19</v>
      </c>
      <c r="E887" t="s">
        <v>28</v>
      </c>
      <c r="F887">
        <v>14</v>
      </c>
      <c r="G887" s="6">
        <v>1366.81</v>
      </c>
      <c r="H887" s="5">
        <v>19135.34</v>
      </c>
      <c r="I887">
        <v>3</v>
      </c>
    </row>
    <row r="888" spans="1:9" x14ac:dyDescent="0.35">
      <c r="A888" t="s">
        <v>1239</v>
      </c>
      <c r="B888" s="1">
        <v>45944</v>
      </c>
      <c r="C888" t="s">
        <v>16</v>
      </c>
      <c r="D888" t="s">
        <v>24</v>
      </c>
      <c r="E888" t="s">
        <v>25</v>
      </c>
      <c r="F888">
        <v>3</v>
      </c>
      <c r="G888" s="6">
        <v>404.03</v>
      </c>
      <c r="H888" s="5">
        <v>1212.0899999999999</v>
      </c>
      <c r="I888">
        <v>3.9</v>
      </c>
    </row>
    <row r="889" spans="1:9" x14ac:dyDescent="0.35">
      <c r="A889" t="s">
        <v>1240</v>
      </c>
      <c r="B889" s="1">
        <v>45960</v>
      </c>
      <c r="C889" t="s">
        <v>16</v>
      </c>
      <c r="D889" t="s">
        <v>19</v>
      </c>
      <c r="E889" t="s">
        <v>20</v>
      </c>
      <c r="F889">
        <v>3</v>
      </c>
      <c r="G889" s="6">
        <v>1131.5</v>
      </c>
      <c r="H889" s="5">
        <v>3394.5</v>
      </c>
      <c r="I889">
        <v>4.8</v>
      </c>
    </row>
    <row r="890" spans="1:9" x14ac:dyDescent="0.35">
      <c r="A890" t="s">
        <v>1241</v>
      </c>
      <c r="B890" s="1">
        <v>45662</v>
      </c>
      <c r="C890" t="s">
        <v>23</v>
      </c>
      <c r="D890" t="s">
        <v>24</v>
      </c>
      <c r="E890" t="s">
        <v>25</v>
      </c>
      <c r="F890">
        <v>9</v>
      </c>
      <c r="G890" s="6">
        <v>714.07</v>
      </c>
      <c r="H890" s="5">
        <v>6426.63</v>
      </c>
      <c r="I890">
        <v>4.3</v>
      </c>
    </row>
    <row r="891" spans="1:9" x14ac:dyDescent="0.35">
      <c r="A891" t="s">
        <v>1242</v>
      </c>
      <c r="B891" s="1">
        <v>45922</v>
      </c>
      <c r="C891" t="s">
        <v>11</v>
      </c>
      <c r="D891" t="s">
        <v>19</v>
      </c>
      <c r="E891" t="s">
        <v>31</v>
      </c>
      <c r="F891">
        <v>14</v>
      </c>
      <c r="G891" s="6">
        <v>1378.66</v>
      </c>
      <c r="H891" s="5">
        <v>19301.240000000002</v>
      </c>
      <c r="I891">
        <v>4</v>
      </c>
    </row>
    <row r="892" spans="1:9" x14ac:dyDescent="0.35">
      <c r="A892" t="s">
        <v>1243</v>
      </c>
      <c r="B892" s="1">
        <v>45710</v>
      </c>
      <c r="C892" t="s">
        <v>11</v>
      </c>
      <c r="D892" t="s">
        <v>24</v>
      </c>
      <c r="E892" t="s">
        <v>44</v>
      </c>
      <c r="F892">
        <v>25</v>
      </c>
      <c r="G892" s="6">
        <v>1231.8699999999999</v>
      </c>
      <c r="H892" s="5">
        <v>30796.75</v>
      </c>
      <c r="I892">
        <v>4.3</v>
      </c>
    </row>
    <row r="893" spans="1:9" x14ac:dyDescent="0.35">
      <c r="A893" t="s">
        <v>1244</v>
      </c>
      <c r="B893" s="1">
        <v>45944</v>
      </c>
      <c r="C893" t="s">
        <v>11</v>
      </c>
      <c r="D893" t="s">
        <v>19</v>
      </c>
      <c r="E893" t="s">
        <v>28</v>
      </c>
      <c r="F893">
        <v>25</v>
      </c>
      <c r="G893" s="6">
        <v>147.13999999999999</v>
      </c>
      <c r="H893" s="5">
        <v>3678.5</v>
      </c>
      <c r="I893">
        <v>4.9000000000000004</v>
      </c>
    </row>
    <row r="894" spans="1:9" x14ac:dyDescent="0.35">
      <c r="A894" t="s">
        <v>1245</v>
      </c>
      <c r="B894" s="1">
        <v>45761</v>
      </c>
      <c r="C894" t="s">
        <v>11</v>
      </c>
      <c r="D894" t="s">
        <v>12</v>
      </c>
      <c r="E894" t="s">
        <v>17</v>
      </c>
      <c r="F894">
        <v>1</v>
      </c>
      <c r="G894" s="6">
        <v>69.87</v>
      </c>
      <c r="H894" s="5">
        <v>69.87</v>
      </c>
      <c r="I894">
        <v>3.6</v>
      </c>
    </row>
    <row r="895" spans="1:9" x14ac:dyDescent="0.35">
      <c r="A895" t="s">
        <v>1246</v>
      </c>
      <c r="B895" s="1">
        <v>45897</v>
      </c>
      <c r="C895" t="s">
        <v>11</v>
      </c>
      <c r="D895" t="s">
        <v>24</v>
      </c>
      <c r="E895" t="s">
        <v>25</v>
      </c>
      <c r="F895">
        <v>4</v>
      </c>
      <c r="G895" s="6">
        <v>108.99</v>
      </c>
      <c r="H895" s="5">
        <v>435.96</v>
      </c>
      <c r="I895">
        <v>3.8</v>
      </c>
    </row>
    <row r="896" spans="1:9" x14ac:dyDescent="0.35">
      <c r="A896" t="s">
        <v>1247</v>
      </c>
      <c r="B896" s="1">
        <v>46001</v>
      </c>
      <c r="C896" t="s">
        <v>38</v>
      </c>
      <c r="D896" t="s">
        <v>12</v>
      </c>
      <c r="E896" t="s">
        <v>90</v>
      </c>
      <c r="F896">
        <v>13</v>
      </c>
      <c r="G896" s="6">
        <v>708.53</v>
      </c>
      <c r="H896" s="5">
        <v>9210.89</v>
      </c>
      <c r="I896">
        <v>4.4000000000000004</v>
      </c>
    </row>
    <row r="897" spans="1:9" x14ac:dyDescent="0.35">
      <c r="A897" t="s">
        <v>1248</v>
      </c>
      <c r="B897" s="1">
        <v>45867</v>
      </c>
      <c r="C897" t="s">
        <v>16</v>
      </c>
      <c r="D897" t="s">
        <v>24</v>
      </c>
      <c r="E897" t="s">
        <v>25</v>
      </c>
      <c r="F897">
        <v>3</v>
      </c>
      <c r="G897" s="6">
        <v>599.82000000000005</v>
      </c>
      <c r="H897" s="5">
        <v>1799.46</v>
      </c>
      <c r="I897">
        <v>3.7</v>
      </c>
    </row>
    <row r="898" spans="1:9" x14ac:dyDescent="0.35">
      <c r="A898" t="s">
        <v>1249</v>
      </c>
      <c r="B898" s="1">
        <v>45860</v>
      </c>
      <c r="C898" t="s">
        <v>11</v>
      </c>
      <c r="D898" t="s">
        <v>12</v>
      </c>
      <c r="E898" t="s">
        <v>17</v>
      </c>
      <c r="F898">
        <v>21</v>
      </c>
      <c r="G898" s="6">
        <v>836.48</v>
      </c>
      <c r="H898" s="5">
        <v>17566.080000000002</v>
      </c>
      <c r="I898">
        <v>4.4000000000000004</v>
      </c>
    </row>
    <row r="899" spans="1:9" x14ac:dyDescent="0.35">
      <c r="A899" t="s">
        <v>1250</v>
      </c>
      <c r="B899" s="1">
        <v>46022</v>
      </c>
      <c r="C899" t="s">
        <v>16</v>
      </c>
      <c r="D899" t="s">
        <v>12</v>
      </c>
      <c r="E899" t="s">
        <v>90</v>
      </c>
      <c r="F899">
        <v>24</v>
      </c>
      <c r="G899" s="6">
        <v>369</v>
      </c>
      <c r="H899" s="5">
        <v>8856</v>
      </c>
      <c r="I899">
        <v>3.7</v>
      </c>
    </row>
    <row r="900" spans="1:9" x14ac:dyDescent="0.35">
      <c r="A900" t="s">
        <v>1251</v>
      </c>
      <c r="B900" s="1">
        <v>45732</v>
      </c>
      <c r="C900" t="s">
        <v>16</v>
      </c>
      <c r="D900" t="s">
        <v>19</v>
      </c>
      <c r="E900" t="s">
        <v>20</v>
      </c>
      <c r="F900">
        <v>13</v>
      </c>
      <c r="G900" s="6">
        <v>119.97</v>
      </c>
      <c r="H900" s="5">
        <v>1559.61</v>
      </c>
      <c r="I900">
        <v>4.4000000000000004</v>
      </c>
    </row>
    <row r="901" spans="1:9" x14ac:dyDescent="0.35">
      <c r="A901" t="s">
        <v>1252</v>
      </c>
      <c r="B901" s="1">
        <v>45767</v>
      </c>
      <c r="C901" t="s">
        <v>11</v>
      </c>
      <c r="D901" t="s">
        <v>24</v>
      </c>
      <c r="E901" t="s">
        <v>25</v>
      </c>
      <c r="F901">
        <v>20</v>
      </c>
      <c r="G901" s="6">
        <v>400.67</v>
      </c>
      <c r="H901" s="5">
        <v>8013.4</v>
      </c>
      <c r="I901">
        <v>3.2</v>
      </c>
    </row>
    <row r="902" spans="1:9" x14ac:dyDescent="0.35">
      <c r="A902" t="s">
        <v>1253</v>
      </c>
      <c r="B902" s="1">
        <v>45766</v>
      </c>
      <c r="C902" t="s">
        <v>38</v>
      </c>
      <c r="D902" t="s">
        <v>24</v>
      </c>
      <c r="E902" t="s">
        <v>69</v>
      </c>
      <c r="F902">
        <v>14</v>
      </c>
      <c r="G902" s="6">
        <v>340.6</v>
      </c>
      <c r="H902" s="5">
        <v>4768.3999999999996</v>
      </c>
      <c r="I902">
        <v>3.7</v>
      </c>
    </row>
    <row r="903" spans="1:9" x14ac:dyDescent="0.35">
      <c r="A903" t="s">
        <v>1254</v>
      </c>
      <c r="B903" s="1">
        <v>45772</v>
      </c>
      <c r="C903" t="s">
        <v>16</v>
      </c>
      <c r="D903" t="s">
        <v>24</v>
      </c>
      <c r="E903" t="s">
        <v>25</v>
      </c>
      <c r="F903">
        <v>13</v>
      </c>
      <c r="G903" s="6">
        <v>1016.24</v>
      </c>
      <c r="H903" s="5">
        <v>13211.12</v>
      </c>
      <c r="I903">
        <v>3.8</v>
      </c>
    </row>
    <row r="904" spans="1:9" x14ac:dyDescent="0.35">
      <c r="A904" t="s">
        <v>1255</v>
      </c>
      <c r="B904" s="1">
        <v>45961</v>
      </c>
      <c r="C904" t="s">
        <v>23</v>
      </c>
      <c r="D904" t="s">
        <v>19</v>
      </c>
      <c r="E904" t="s">
        <v>28</v>
      </c>
      <c r="F904">
        <v>10</v>
      </c>
      <c r="G904" s="6">
        <v>683.34</v>
      </c>
      <c r="H904" s="5">
        <v>6833.4</v>
      </c>
      <c r="I904">
        <v>3.9</v>
      </c>
    </row>
    <row r="905" spans="1:9" x14ac:dyDescent="0.35">
      <c r="A905" t="s">
        <v>1256</v>
      </c>
      <c r="B905" s="1">
        <v>45769</v>
      </c>
      <c r="C905" t="s">
        <v>11</v>
      </c>
      <c r="D905" t="s">
        <v>19</v>
      </c>
      <c r="E905" t="s">
        <v>20</v>
      </c>
      <c r="F905">
        <v>13</v>
      </c>
      <c r="G905" s="6">
        <v>246.58</v>
      </c>
      <c r="H905" s="5">
        <v>3205.54</v>
      </c>
      <c r="I905">
        <v>4.5</v>
      </c>
    </row>
    <row r="906" spans="1:9" x14ac:dyDescent="0.35">
      <c r="A906" t="s">
        <v>1257</v>
      </c>
      <c r="B906" s="1">
        <v>45921</v>
      </c>
      <c r="C906" t="s">
        <v>38</v>
      </c>
      <c r="D906" t="s">
        <v>12</v>
      </c>
      <c r="E906" t="s">
        <v>17</v>
      </c>
      <c r="F906">
        <v>21</v>
      </c>
      <c r="G906" s="6">
        <v>638.75</v>
      </c>
      <c r="H906" s="5">
        <v>13413.75</v>
      </c>
      <c r="I906">
        <v>4.5999999999999996</v>
      </c>
    </row>
    <row r="907" spans="1:9" x14ac:dyDescent="0.35">
      <c r="A907" t="s">
        <v>1258</v>
      </c>
      <c r="B907" s="1">
        <v>45975</v>
      </c>
      <c r="C907" t="s">
        <v>11</v>
      </c>
      <c r="D907" t="s">
        <v>12</v>
      </c>
      <c r="E907" t="s">
        <v>90</v>
      </c>
      <c r="F907">
        <v>19</v>
      </c>
      <c r="G907" s="6">
        <v>285.44</v>
      </c>
      <c r="H907" s="5">
        <v>5423.36</v>
      </c>
      <c r="I907">
        <v>3.7</v>
      </c>
    </row>
    <row r="908" spans="1:9" x14ac:dyDescent="0.35">
      <c r="A908" t="s">
        <v>1259</v>
      </c>
      <c r="B908" s="1">
        <v>45973</v>
      </c>
      <c r="C908" t="s">
        <v>38</v>
      </c>
      <c r="D908" t="s">
        <v>19</v>
      </c>
      <c r="E908" t="s">
        <v>20</v>
      </c>
      <c r="F908">
        <v>9</v>
      </c>
      <c r="G908" s="6">
        <v>958.71</v>
      </c>
      <c r="H908" s="5">
        <v>8628.39</v>
      </c>
      <c r="I908">
        <v>4.9000000000000004</v>
      </c>
    </row>
    <row r="909" spans="1:9" x14ac:dyDescent="0.35">
      <c r="A909" t="s">
        <v>1260</v>
      </c>
      <c r="B909" s="1">
        <v>45828</v>
      </c>
      <c r="C909" t="s">
        <v>38</v>
      </c>
      <c r="D909" t="s">
        <v>12</v>
      </c>
      <c r="E909" t="s">
        <v>13</v>
      </c>
      <c r="F909">
        <v>5</v>
      </c>
      <c r="G909" s="6">
        <v>698.45</v>
      </c>
      <c r="H909" s="5">
        <v>3492.25</v>
      </c>
      <c r="I909">
        <v>4.4000000000000004</v>
      </c>
    </row>
    <row r="910" spans="1:9" x14ac:dyDescent="0.35">
      <c r="A910" t="s">
        <v>1261</v>
      </c>
      <c r="B910" s="1">
        <v>45689</v>
      </c>
      <c r="C910" t="s">
        <v>16</v>
      </c>
      <c r="D910" t="s">
        <v>19</v>
      </c>
      <c r="E910" t="s">
        <v>31</v>
      </c>
      <c r="F910">
        <v>11</v>
      </c>
      <c r="G910" s="6">
        <v>825.34</v>
      </c>
      <c r="H910" s="5">
        <v>9078.74</v>
      </c>
      <c r="I910">
        <v>3.2</v>
      </c>
    </row>
    <row r="911" spans="1:9" x14ac:dyDescent="0.35">
      <c r="A911" t="s">
        <v>1262</v>
      </c>
      <c r="B911" s="1">
        <v>45882</v>
      </c>
      <c r="C911" t="s">
        <v>38</v>
      </c>
      <c r="D911" t="s">
        <v>19</v>
      </c>
      <c r="E911" t="s">
        <v>31</v>
      </c>
      <c r="F911">
        <v>21</v>
      </c>
      <c r="G911" s="6">
        <v>8.43</v>
      </c>
      <c r="H911" s="5">
        <v>177.03</v>
      </c>
      <c r="I911">
        <v>4.8</v>
      </c>
    </row>
    <row r="912" spans="1:9" x14ac:dyDescent="0.35">
      <c r="A912" t="s">
        <v>1264</v>
      </c>
      <c r="B912" s="1">
        <v>45659</v>
      </c>
      <c r="C912" t="s">
        <v>11</v>
      </c>
      <c r="D912" t="s">
        <v>24</v>
      </c>
      <c r="E912" t="s">
        <v>44</v>
      </c>
      <c r="F912">
        <v>18</v>
      </c>
      <c r="G912" s="6">
        <v>835.32</v>
      </c>
      <c r="H912" s="5">
        <v>15035.76</v>
      </c>
      <c r="I912">
        <v>4.2</v>
      </c>
    </row>
    <row r="913" spans="1:9" x14ac:dyDescent="0.35">
      <c r="A913" t="s">
        <v>1266</v>
      </c>
      <c r="B913" s="1">
        <v>45662</v>
      </c>
      <c r="C913" t="s">
        <v>11</v>
      </c>
      <c r="D913" t="s">
        <v>24</v>
      </c>
      <c r="E913" t="s">
        <v>44</v>
      </c>
      <c r="F913">
        <v>6</v>
      </c>
      <c r="G913" s="6">
        <v>941.65</v>
      </c>
      <c r="H913" s="5">
        <v>5649.9</v>
      </c>
      <c r="I913">
        <v>3.8</v>
      </c>
    </row>
    <row r="914" spans="1:9" x14ac:dyDescent="0.35">
      <c r="A914" t="s">
        <v>1267</v>
      </c>
      <c r="B914" s="1">
        <v>45794</v>
      </c>
      <c r="C914" t="s">
        <v>16</v>
      </c>
      <c r="D914" t="s">
        <v>24</v>
      </c>
      <c r="E914" t="s">
        <v>25</v>
      </c>
      <c r="F914">
        <v>5</v>
      </c>
      <c r="G914" s="6">
        <v>935.58</v>
      </c>
      <c r="H914" s="5">
        <v>4677.8999999999996</v>
      </c>
      <c r="I914">
        <v>3.9</v>
      </c>
    </row>
    <row r="915" spans="1:9" x14ac:dyDescent="0.35">
      <c r="A915" t="s">
        <v>1268</v>
      </c>
      <c r="B915" s="1">
        <v>45939</v>
      </c>
      <c r="C915" t="s">
        <v>23</v>
      </c>
      <c r="D915" t="s">
        <v>12</v>
      </c>
      <c r="E915" t="s">
        <v>17</v>
      </c>
      <c r="F915">
        <v>7</v>
      </c>
      <c r="G915" s="6">
        <v>1139.02</v>
      </c>
      <c r="H915" s="5">
        <v>7973.14</v>
      </c>
      <c r="I915">
        <v>4.8</v>
      </c>
    </row>
    <row r="916" spans="1:9" x14ac:dyDescent="0.35">
      <c r="A916" t="s">
        <v>1269</v>
      </c>
      <c r="B916" s="1">
        <v>45811</v>
      </c>
      <c r="C916" t="s">
        <v>38</v>
      </c>
      <c r="D916" t="s">
        <v>19</v>
      </c>
      <c r="E916" t="s">
        <v>31</v>
      </c>
      <c r="F916">
        <v>18</v>
      </c>
      <c r="G916" s="6">
        <v>1222.04</v>
      </c>
      <c r="H916" s="5">
        <v>21996.720000000001</v>
      </c>
      <c r="I916">
        <v>3.1</v>
      </c>
    </row>
    <row r="917" spans="1:9" x14ac:dyDescent="0.35">
      <c r="A917" t="s">
        <v>1270</v>
      </c>
      <c r="B917" s="1">
        <v>45835</v>
      </c>
      <c r="C917" t="s">
        <v>38</v>
      </c>
      <c r="D917" t="s">
        <v>24</v>
      </c>
      <c r="E917" t="s">
        <v>25</v>
      </c>
      <c r="F917">
        <v>10</v>
      </c>
      <c r="G917" s="6">
        <v>1268.69</v>
      </c>
      <c r="H917" s="5">
        <v>12686.9</v>
      </c>
      <c r="I917">
        <v>4.0999999999999996</v>
      </c>
    </row>
    <row r="918" spans="1:9" x14ac:dyDescent="0.35">
      <c r="A918" t="s">
        <v>1271</v>
      </c>
      <c r="B918" s="1">
        <v>45725</v>
      </c>
      <c r="C918" t="s">
        <v>23</v>
      </c>
      <c r="D918" t="s">
        <v>24</v>
      </c>
      <c r="E918" t="s">
        <v>25</v>
      </c>
      <c r="F918">
        <v>4</v>
      </c>
      <c r="G918" s="6">
        <v>250.37</v>
      </c>
      <c r="H918" s="5">
        <v>1001.48</v>
      </c>
      <c r="I918">
        <v>5</v>
      </c>
    </row>
    <row r="919" spans="1:9" x14ac:dyDescent="0.35">
      <c r="A919" t="s">
        <v>1272</v>
      </c>
      <c r="B919" s="1">
        <v>45807</v>
      </c>
      <c r="C919" t="s">
        <v>23</v>
      </c>
      <c r="D919" t="s">
        <v>12</v>
      </c>
      <c r="E919" t="s">
        <v>17</v>
      </c>
      <c r="F919">
        <v>3</v>
      </c>
      <c r="G919" s="6">
        <v>224.53</v>
      </c>
      <c r="H919" s="5">
        <v>673.59</v>
      </c>
      <c r="I919">
        <v>3.8</v>
      </c>
    </row>
    <row r="920" spans="1:9" x14ac:dyDescent="0.35">
      <c r="A920" t="s">
        <v>1273</v>
      </c>
      <c r="B920" s="1">
        <v>46008</v>
      </c>
      <c r="C920" t="s">
        <v>23</v>
      </c>
      <c r="D920" t="s">
        <v>24</v>
      </c>
      <c r="E920" t="s">
        <v>44</v>
      </c>
      <c r="F920">
        <v>12</v>
      </c>
      <c r="G920" s="6">
        <v>930.99</v>
      </c>
      <c r="H920" s="5">
        <v>11171.88</v>
      </c>
      <c r="I920">
        <v>3.1</v>
      </c>
    </row>
    <row r="921" spans="1:9" x14ac:dyDescent="0.35">
      <c r="A921" t="s">
        <v>1274</v>
      </c>
      <c r="B921" s="1">
        <v>45978</v>
      </c>
      <c r="C921" t="s">
        <v>38</v>
      </c>
      <c r="D921" t="s">
        <v>19</v>
      </c>
      <c r="E921" t="s">
        <v>20</v>
      </c>
      <c r="F921">
        <v>15</v>
      </c>
      <c r="G921" s="6">
        <v>235.77</v>
      </c>
      <c r="H921" s="5">
        <v>3536.55</v>
      </c>
      <c r="I921">
        <v>3</v>
      </c>
    </row>
    <row r="922" spans="1:9" x14ac:dyDescent="0.35">
      <c r="A922" t="s">
        <v>1275</v>
      </c>
      <c r="B922" s="1">
        <v>45875</v>
      </c>
      <c r="C922" t="s">
        <v>16</v>
      </c>
      <c r="D922" t="s">
        <v>12</v>
      </c>
      <c r="E922" t="s">
        <v>17</v>
      </c>
      <c r="F922">
        <v>14</v>
      </c>
      <c r="G922" s="6">
        <v>1036.19</v>
      </c>
      <c r="H922" s="5">
        <v>14506.66</v>
      </c>
      <c r="I922">
        <v>4.2</v>
      </c>
    </row>
    <row r="923" spans="1:9" x14ac:dyDescent="0.35">
      <c r="A923" t="s">
        <v>1276</v>
      </c>
      <c r="B923" s="1">
        <v>45734</v>
      </c>
      <c r="C923" t="s">
        <v>38</v>
      </c>
      <c r="D923" t="s">
        <v>24</v>
      </c>
      <c r="E923" t="s">
        <v>25</v>
      </c>
      <c r="F923">
        <v>10</v>
      </c>
      <c r="G923" s="6">
        <v>895.16</v>
      </c>
      <c r="H923" s="5">
        <v>8951.6</v>
      </c>
      <c r="I923">
        <v>4.2</v>
      </c>
    </row>
    <row r="924" spans="1:9" x14ac:dyDescent="0.35">
      <c r="A924" t="s">
        <v>1277</v>
      </c>
      <c r="B924" s="1">
        <v>45798</v>
      </c>
      <c r="C924" t="s">
        <v>23</v>
      </c>
      <c r="D924" t="s">
        <v>24</v>
      </c>
      <c r="E924" t="s">
        <v>69</v>
      </c>
      <c r="F924">
        <v>21</v>
      </c>
      <c r="G924" s="6">
        <v>423.44</v>
      </c>
      <c r="H924" s="5">
        <v>8892.24</v>
      </c>
      <c r="I924">
        <v>4.0999999999999996</v>
      </c>
    </row>
    <row r="925" spans="1:9" x14ac:dyDescent="0.35">
      <c r="A925" t="s">
        <v>1278</v>
      </c>
      <c r="B925" s="1">
        <v>45969</v>
      </c>
      <c r="C925" t="s">
        <v>11</v>
      </c>
      <c r="D925" t="s">
        <v>24</v>
      </c>
      <c r="E925" t="s">
        <v>69</v>
      </c>
      <c r="F925">
        <v>5</v>
      </c>
      <c r="G925" s="6">
        <v>1314.84</v>
      </c>
      <c r="H925" s="5">
        <v>6574.2</v>
      </c>
      <c r="I925">
        <v>4.0999999999999996</v>
      </c>
    </row>
    <row r="926" spans="1:9" x14ac:dyDescent="0.35">
      <c r="A926" t="s">
        <v>1279</v>
      </c>
      <c r="B926" s="1">
        <v>45670</v>
      </c>
      <c r="C926" t="s">
        <v>38</v>
      </c>
      <c r="D926" t="s">
        <v>19</v>
      </c>
      <c r="E926" t="s">
        <v>20</v>
      </c>
      <c r="F926">
        <v>14</v>
      </c>
      <c r="G926" s="6">
        <v>1489.65</v>
      </c>
      <c r="H926" s="5">
        <v>20855.099999999999</v>
      </c>
      <c r="I926">
        <v>3.9</v>
      </c>
    </row>
    <row r="927" spans="1:9" x14ac:dyDescent="0.35">
      <c r="A927" t="s">
        <v>1280</v>
      </c>
      <c r="B927" s="1">
        <v>45941</v>
      </c>
      <c r="C927" t="s">
        <v>16</v>
      </c>
      <c r="D927" t="s">
        <v>24</v>
      </c>
      <c r="E927" t="s">
        <v>25</v>
      </c>
      <c r="F927">
        <v>24</v>
      </c>
      <c r="G927" s="6">
        <v>258.89</v>
      </c>
      <c r="H927" s="5">
        <v>6213.36</v>
      </c>
      <c r="I927">
        <v>4.2</v>
      </c>
    </row>
    <row r="928" spans="1:9" x14ac:dyDescent="0.35">
      <c r="A928" t="s">
        <v>1281</v>
      </c>
      <c r="B928" s="1">
        <v>45992</v>
      </c>
      <c r="C928" t="s">
        <v>38</v>
      </c>
      <c r="D928" t="s">
        <v>12</v>
      </c>
      <c r="E928" t="s">
        <v>90</v>
      </c>
      <c r="F928">
        <v>12</v>
      </c>
      <c r="G928" s="6">
        <v>778.83</v>
      </c>
      <c r="H928" s="5">
        <v>9345.9599999999991</v>
      </c>
      <c r="I928">
        <v>4.7</v>
      </c>
    </row>
    <row r="929" spans="1:9" x14ac:dyDescent="0.35">
      <c r="A929" t="s">
        <v>1282</v>
      </c>
      <c r="B929" s="1">
        <v>45774</v>
      </c>
      <c r="C929" t="s">
        <v>11</v>
      </c>
      <c r="D929" t="s">
        <v>19</v>
      </c>
      <c r="E929" t="s">
        <v>31</v>
      </c>
      <c r="F929">
        <v>13</v>
      </c>
      <c r="G929" s="6">
        <v>1427.72</v>
      </c>
      <c r="H929" s="5">
        <v>18560.36</v>
      </c>
      <c r="I929">
        <v>4</v>
      </c>
    </row>
    <row r="930" spans="1:9" x14ac:dyDescent="0.35">
      <c r="A930" t="s">
        <v>1283</v>
      </c>
      <c r="B930" s="1">
        <v>45995</v>
      </c>
      <c r="C930" t="s">
        <v>23</v>
      </c>
      <c r="D930" t="s">
        <v>12</v>
      </c>
      <c r="E930" t="s">
        <v>90</v>
      </c>
      <c r="F930">
        <v>17</v>
      </c>
      <c r="G930" s="6">
        <v>644.41999999999996</v>
      </c>
      <c r="H930" s="5">
        <v>10955.14</v>
      </c>
      <c r="I930">
        <v>3.8</v>
      </c>
    </row>
    <row r="931" spans="1:9" x14ac:dyDescent="0.35">
      <c r="A931" t="s">
        <v>1285</v>
      </c>
      <c r="B931" s="1">
        <v>45859</v>
      </c>
      <c r="C931" t="s">
        <v>23</v>
      </c>
      <c r="D931" t="s">
        <v>12</v>
      </c>
      <c r="E931" t="s">
        <v>13</v>
      </c>
      <c r="F931">
        <v>15</v>
      </c>
      <c r="G931" s="6">
        <v>925.08</v>
      </c>
      <c r="H931" s="5">
        <v>13876.2</v>
      </c>
      <c r="I931">
        <v>4.4000000000000004</v>
      </c>
    </row>
    <row r="932" spans="1:9" x14ac:dyDescent="0.35">
      <c r="A932" t="s">
        <v>1286</v>
      </c>
      <c r="B932" s="1">
        <v>45875</v>
      </c>
      <c r="C932" t="s">
        <v>16</v>
      </c>
      <c r="D932" t="s">
        <v>19</v>
      </c>
      <c r="E932" t="s">
        <v>28</v>
      </c>
      <c r="F932">
        <v>8</v>
      </c>
      <c r="G932" s="6">
        <v>1325.25</v>
      </c>
      <c r="H932" s="5">
        <v>10602</v>
      </c>
      <c r="I932">
        <v>3.6</v>
      </c>
    </row>
    <row r="933" spans="1:9" x14ac:dyDescent="0.35">
      <c r="A933" t="s">
        <v>1287</v>
      </c>
      <c r="B933" s="1">
        <v>45785</v>
      </c>
      <c r="C933" t="s">
        <v>23</v>
      </c>
      <c r="D933" t="s">
        <v>24</v>
      </c>
      <c r="E933" t="s">
        <v>69</v>
      </c>
      <c r="F933">
        <v>14</v>
      </c>
      <c r="G933" s="6">
        <v>250.11</v>
      </c>
      <c r="H933" s="5">
        <v>3501.54</v>
      </c>
      <c r="I933">
        <v>3.6</v>
      </c>
    </row>
    <row r="934" spans="1:9" x14ac:dyDescent="0.35">
      <c r="A934" t="s">
        <v>1288</v>
      </c>
      <c r="B934" s="1">
        <v>46022</v>
      </c>
      <c r="C934" t="s">
        <v>16</v>
      </c>
      <c r="D934" t="s">
        <v>24</v>
      </c>
      <c r="E934" t="s">
        <v>25</v>
      </c>
      <c r="F934">
        <v>14</v>
      </c>
      <c r="G934" s="6">
        <v>970.1</v>
      </c>
      <c r="H934" s="5">
        <v>13581.4</v>
      </c>
      <c r="I934">
        <v>3.7</v>
      </c>
    </row>
    <row r="935" spans="1:9" x14ac:dyDescent="0.35">
      <c r="A935" t="s">
        <v>1289</v>
      </c>
      <c r="B935" s="1">
        <v>45832</v>
      </c>
      <c r="C935" t="s">
        <v>23</v>
      </c>
      <c r="D935" t="s">
        <v>19</v>
      </c>
      <c r="E935" t="s">
        <v>31</v>
      </c>
      <c r="F935">
        <v>5</v>
      </c>
      <c r="G935" s="6">
        <v>591.5</v>
      </c>
      <c r="H935" s="5">
        <v>2957.5</v>
      </c>
      <c r="I935">
        <v>3.8</v>
      </c>
    </row>
    <row r="936" spans="1:9" x14ac:dyDescent="0.35">
      <c r="A936" t="s">
        <v>1290</v>
      </c>
      <c r="B936" s="1">
        <v>45744</v>
      </c>
      <c r="C936" t="s">
        <v>16</v>
      </c>
      <c r="D936" t="s">
        <v>12</v>
      </c>
      <c r="E936" t="s">
        <v>17</v>
      </c>
      <c r="F936">
        <v>6</v>
      </c>
      <c r="G936" s="6">
        <v>1403.69</v>
      </c>
      <c r="H936" s="5">
        <v>8422.14</v>
      </c>
      <c r="I936">
        <v>4.0999999999999996</v>
      </c>
    </row>
    <row r="937" spans="1:9" x14ac:dyDescent="0.35">
      <c r="A937" t="s">
        <v>1291</v>
      </c>
      <c r="B937" s="1">
        <v>45950</v>
      </c>
      <c r="C937" t="s">
        <v>16</v>
      </c>
      <c r="D937" t="s">
        <v>12</v>
      </c>
      <c r="E937" t="s">
        <v>17</v>
      </c>
      <c r="F937">
        <v>22</v>
      </c>
      <c r="G937" s="6">
        <v>917.66</v>
      </c>
      <c r="H937" s="5">
        <v>20188.52</v>
      </c>
      <c r="I937">
        <v>4.8</v>
      </c>
    </row>
    <row r="938" spans="1:9" x14ac:dyDescent="0.35">
      <c r="A938" t="s">
        <v>1292</v>
      </c>
      <c r="B938" s="1">
        <v>45826</v>
      </c>
      <c r="C938" t="s">
        <v>38</v>
      </c>
      <c r="D938" t="s">
        <v>19</v>
      </c>
      <c r="E938" t="s">
        <v>31</v>
      </c>
      <c r="F938">
        <v>12</v>
      </c>
      <c r="G938" s="6">
        <v>1266.5999999999999</v>
      </c>
      <c r="H938" s="5">
        <v>15199.2</v>
      </c>
      <c r="I938">
        <v>4.0999999999999996</v>
      </c>
    </row>
    <row r="939" spans="1:9" x14ac:dyDescent="0.35">
      <c r="A939" t="s">
        <v>1294</v>
      </c>
      <c r="B939" s="1">
        <v>45674</v>
      </c>
      <c r="C939" t="s">
        <v>23</v>
      </c>
      <c r="D939" t="s">
        <v>24</v>
      </c>
      <c r="E939" t="s">
        <v>69</v>
      </c>
      <c r="F939">
        <v>1</v>
      </c>
      <c r="G939" s="6">
        <v>18.48</v>
      </c>
      <c r="H939" s="5">
        <v>18.48</v>
      </c>
      <c r="I939">
        <v>4</v>
      </c>
    </row>
    <row r="940" spans="1:9" x14ac:dyDescent="0.35">
      <c r="A940" t="s">
        <v>1295</v>
      </c>
      <c r="B940" s="1">
        <v>45804</v>
      </c>
      <c r="C940" t="s">
        <v>16</v>
      </c>
      <c r="D940" t="s">
        <v>12</v>
      </c>
      <c r="E940" t="s">
        <v>13</v>
      </c>
      <c r="F940">
        <v>12</v>
      </c>
      <c r="G940" s="6">
        <v>61.31</v>
      </c>
      <c r="H940" s="5">
        <v>735.72</v>
      </c>
      <c r="I940">
        <v>3.2</v>
      </c>
    </row>
    <row r="941" spans="1:9" x14ac:dyDescent="0.35">
      <c r="A941" t="s">
        <v>1296</v>
      </c>
      <c r="B941" s="1">
        <v>45679</v>
      </c>
      <c r="C941" t="s">
        <v>16</v>
      </c>
      <c r="D941" t="s">
        <v>24</v>
      </c>
      <c r="E941" t="s">
        <v>25</v>
      </c>
      <c r="F941">
        <v>4</v>
      </c>
      <c r="G941" s="6">
        <v>157.47</v>
      </c>
      <c r="H941" s="5">
        <v>629.88</v>
      </c>
      <c r="I941">
        <v>4.8</v>
      </c>
    </row>
    <row r="942" spans="1:9" x14ac:dyDescent="0.35">
      <c r="A942" t="s">
        <v>1297</v>
      </c>
      <c r="B942" s="1">
        <v>45935</v>
      </c>
      <c r="C942" t="s">
        <v>11</v>
      </c>
      <c r="D942" t="s">
        <v>19</v>
      </c>
      <c r="E942" t="s">
        <v>31</v>
      </c>
      <c r="F942">
        <v>16</v>
      </c>
      <c r="G942" s="6">
        <v>521.71</v>
      </c>
      <c r="H942" s="5">
        <v>8347.36</v>
      </c>
      <c r="I942">
        <v>3.5</v>
      </c>
    </row>
    <row r="943" spans="1:9" x14ac:dyDescent="0.35">
      <c r="A943" t="s">
        <v>1298</v>
      </c>
      <c r="B943" s="1">
        <v>45924</v>
      </c>
      <c r="C943" t="s">
        <v>23</v>
      </c>
      <c r="D943" t="s">
        <v>19</v>
      </c>
      <c r="E943" t="s">
        <v>20</v>
      </c>
      <c r="F943">
        <v>12</v>
      </c>
      <c r="G943" s="6">
        <v>363.19</v>
      </c>
      <c r="H943" s="5">
        <v>4358.28</v>
      </c>
      <c r="I943">
        <v>4</v>
      </c>
    </row>
    <row r="944" spans="1:9" x14ac:dyDescent="0.35">
      <c r="A944" t="s">
        <v>1299</v>
      </c>
      <c r="B944" s="1">
        <v>45833</v>
      </c>
      <c r="C944" t="s">
        <v>11</v>
      </c>
      <c r="D944" t="s">
        <v>12</v>
      </c>
      <c r="E944" t="s">
        <v>13</v>
      </c>
      <c r="F944">
        <v>5</v>
      </c>
      <c r="G944" s="6">
        <v>796.37</v>
      </c>
      <c r="H944" s="5">
        <v>3981.85</v>
      </c>
      <c r="I944">
        <v>4.9000000000000004</v>
      </c>
    </row>
    <row r="945" spans="1:9" x14ac:dyDescent="0.35">
      <c r="A945" t="s">
        <v>1300</v>
      </c>
      <c r="B945" s="1">
        <v>45808</v>
      </c>
      <c r="C945" t="s">
        <v>11</v>
      </c>
      <c r="D945" t="s">
        <v>12</v>
      </c>
      <c r="E945" t="s">
        <v>90</v>
      </c>
      <c r="F945">
        <v>4</v>
      </c>
      <c r="G945" s="6">
        <v>1127.33</v>
      </c>
      <c r="H945" s="5">
        <v>4509.32</v>
      </c>
      <c r="I945">
        <v>4.0999999999999996</v>
      </c>
    </row>
    <row r="946" spans="1:9" x14ac:dyDescent="0.35">
      <c r="A946" t="s">
        <v>1301</v>
      </c>
      <c r="B946" s="1">
        <v>45684</v>
      </c>
      <c r="C946" t="s">
        <v>38</v>
      </c>
      <c r="D946" t="s">
        <v>24</v>
      </c>
      <c r="E946" t="s">
        <v>25</v>
      </c>
      <c r="F946">
        <v>8</v>
      </c>
      <c r="G946" s="6">
        <v>1398.03</v>
      </c>
      <c r="H946" s="5">
        <v>11184.24</v>
      </c>
      <c r="I946">
        <v>3.6</v>
      </c>
    </row>
    <row r="947" spans="1:9" x14ac:dyDescent="0.35">
      <c r="A947" t="s">
        <v>1302</v>
      </c>
      <c r="B947" s="1">
        <v>45924</v>
      </c>
      <c r="C947" t="s">
        <v>16</v>
      </c>
      <c r="D947" t="s">
        <v>12</v>
      </c>
      <c r="E947" t="s">
        <v>17</v>
      </c>
      <c r="F947">
        <v>17</v>
      </c>
      <c r="G947" s="6">
        <v>718.76</v>
      </c>
      <c r="H947" s="5">
        <v>12218.92</v>
      </c>
      <c r="I947">
        <v>4.5999999999999996</v>
      </c>
    </row>
    <row r="948" spans="1:9" x14ac:dyDescent="0.35">
      <c r="A948" t="s">
        <v>1303</v>
      </c>
      <c r="B948" s="1">
        <v>45940</v>
      </c>
      <c r="C948" t="s">
        <v>38</v>
      </c>
      <c r="D948" t="s">
        <v>19</v>
      </c>
      <c r="E948" t="s">
        <v>28</v>
      </c>
      <c r="F948">
        <v>23</v>
      </c>
      <c r="G948" s="6">
        <v>642.02</v>
      </c>
      <c r="H948" s="5">
        <v>14766.46</v>
      </c>
      <c r="I948">
        <v>4</v>
      </c>
    </row>
    <row r="949" spans="1:9" x14ac:dyDescent="0.35">
      <c r="A949" t="s">
        <v>1304</v>
      </c>
      <c r="B949" s="1">
        <v>45843</v>
      </c>
      <c r="C949" t="s">
        <v>23</v>
      </c>
      <c r="D949" t="s">
        <v>12</v>
      </c>
      <c r="E949" t="s">
        <v>13</v>
      </c>
      <c r="F949">
        <v>11</v>
      </c>
      <c r="G949" s="6">
        <v>663.45</v>
      </c>
      <c r="H949" s="5">
        <v>7297.95</v>
      </c>
      <c r="I949">
        <v>4.8</v>
      </c>
    </row>
    <row r="950" spans="1:9" x14ac:dyDescent="0.35">
      <c r="A950" t="s">
        <v>1305</v>
      </c>
      <c r="B950" s="1">
        <v>45676</v>
      </c>
      <c r="C950" t="s">
        <v>16</v>
      </c>
      <c r="D950" t="s">
        <v>12</v>
      </c>
      <c r="E950" t="s">
        <v>17</v>
      </c>
      <c r="F950">
        <v>12</v>
      </c>
      <c r="G950" s="6">
        <v>959.52</v>
      </c>
      <c r="H950" s="5">
        <v>11514.24</v>
      </c>
      <c r="I950">
        <v>4</v>
      </c>
    </row>
    <row r="951" spans="1:9" x14ac:dyDescent="0.35">
      <c r="A951" t="s">
        <v>1306</v>
      </c>
      <c r="B951" s="1">
        <v>45992</v>
      </c>
      <c r="C951" t="s">
        <v>23</v>
      </c>
      <c r="D951" t="s">
        <v>24</v>
      </c>
      <c r="E951" t="s">
        <v>69</v>
      </c>
      <c r="F951">
        <v>13</v>
      </c>
      <c r="G951" s="6">
        <v>700.29</v>
      </c>
      <c r="H951" s="5">
        <v>9103.77</v>
      </c>
      <c r="I951">
        <v>3.6</v>
      </c>
    </row>
    <row r="952" spans="1:9" x14ac:dyDescent="0.35">
      <c r="A952" t="s">
        <v>1307</v>
      </c>
      <c r="B952" s="1">
        <v>45671</v>
      </c>
      <c r="C952" t="s">
        <v>11</v>
      </c>
      <c r="D952" t="s">
        <v>19</v>
      </c>
      <c r="E952" t="s">
        <v>28</v>
      </c>
      <c r="F952">
        <v>20</v>
      </c>
      <c r="G952" s="6">
        <v>735.91</v>
      </c>
      <c r="H952" s="5">
        <v>14718.2</v>
      </c>
      <c r="I952">
        <v>3.9</v>
      </c>
    </row>
    <row r="953" spans="1:9" x14ac:dyDescent="0.35">
      <c r="A953" t="s">
        <v>1308</v>
      </c>
      <c r="B953" s="1">
        <v>45841</v>
      </c>
      <c r="C953" t="s">
        <v>11</v>
      </c>
      <c r="D953" t="s">
        <v>19</v>
      </c>
      <c r="E953" t="s">
        <v>20</v>
      </c>
      <c r="F953">
        <v>5</v>
      </c>
      <c r="G953" s="6">
        <v>392.76</v>
      </c>
      <c r="H953" s="5">
        <v>1963.8</v>
      </c>
      <c r="I953">
        <v>4.2</v>
      </c>
    </row>
    <row r="954" spans="1:9" x14ac:dyDescent="0.35">
      <c r="A954" t="s">
        <v>1309</v>
      </c>
      <c r="B954" s="1">
        <v>45742</v>
      </c>
      <c r="C954" t="s">
        <v>38</v>
      </c>
      <c r="D954" t="s">
        <v>12</v>
      </c>
      <c r="E954" t="s">
        <v>90</v>
      </c>
      <c r="F954">
        <v>11</v>
      </c>
      <c r="G954" s="6">
        <v>5.28</v>
      </c>
      <c r="H954" s="5">
        <v>58.08</v>
      </c>
      <c r="I954">
        <v>4.7</v>
      </c>
    </row>
    <row r="955" spans="1:9" x14ac:dyDescent="0.35">
      <c r="A955" t="s">
        <v>1310</v>
      </c>
      <c r="B955" s="1">
        <v>45951</v>
      </c>
      <c r="C955" t="s">
        <v>16</v>
      </c>
      <c r="D955" t="s">
        <v>19</v>
      </c>
      <c r="E955" t="s">
        <v>20</v>
      </c>
      <c r="F955">
        <v>2</v>
      </c>
      <c r="G955" s="6">
        <v>1470.33</v>
      </c>
      <c r="H955" s="5">
        <v>2940.66</v>
      </c>
      <c r="I955">
        <v>4</v>
      </c>
    </row>
    <row r="956" spans="1:9" x14ac:dyDescent="0.35">
      <c r="A956" t="s">
        <v>1311</v>
      </c>
      <c r="B956" s="1">
        <v>45686</v>
      </c>
      <c r="C956" t="s">
        <v>38</v>
      </c>
      <c r="D956" t="s">
        <v>24</v>
      </c>
      <c r="E956" t="s">
        <v>25</v>
      </c>
      <c r="F956">
        <v>6</v>
      </c>
      <c r="G956" s="6">
        <v>625.21</v>
      </c>
      <c r="H956" s="5">
        <v>3751.26</v>
      </c>
      <c r="I956">
        <v>3.5</v>
      </c>
    </row>
    <row r="957" spans="1:9" x14ac:dyDescent="0.35">
      <c r="A957" t="s">
        <v>1312</v>
      </c>
      <c r="B957" s="1">
        <v>45674</v>
      </c>
      <c r="C957" t="s">
        <v>38</v>
      </c>
      <c r="D957" t="s">
        <v>24</v>
      </c>
      <c r="E957" t="s">
        <v>25</v>
      </c>
      <c r="F957">
        <v>16</v>
      </c>
      <c r="G957" s="6">
        <v>876.89</v>
      </c>
      <c r="H957" s="5">
        <v>14030.24</v>
      </c>
      <c r="I957">
        <v>4.3</v>
      </c>
    </row>
    <row r="958" spans="1:9" x14ac:dyDescent="0.35">
      <c r="A958" t="s">
        <v>1313</v>
      </c>
      <c r="B958" s="1">
        <v>45811</v>
      </c>
      <c r="C958" t="s">
        <v>11</v>
      </c>
      <c r="D958" t="s">
        <v>24</v>
      </c>
      <c r="E958" t="s">
        <v>69</v>
      </c>
      <c r="F958">
        <v>9</v>
      </c>
      <c r="G958" s="6">
        <v>1263.3800000000001</v>
      </c>
      <c r="H958" s="5">
        <v>11370.42</v>
      </c>
      <c r="I958">
        <v>4.3</v>
      </c>
    </row>
    <row r="959" spans="1:9" x14ac:dyDescent="0.35">
      <c r="A959" t="s">
        <v>1314</v>
      </c>
      <c r="B959" s="1">
        <v>45890</v>
      </c>
      <c r="C959" t="s">
        <v>23</v>
      </c>
      <c r="D959" t="s">
        <v>19</v>
      </c>
      <c r="E959" t="s">
        <v>20</v>
      </c>
      <c r="F959">
        <v>15</v>
      </c>
      <c r="G959" s="6">
        <v>95.43</v>
      </c>
      <c r="H959" s="5">
        <v>1431.45</v>
      </c>
      <c r="I959">
        <v>3.7</v>
      </c>
    </row>
    <row r="960" spans="1:9" x14ac:dyDescent="0.35">
      <c r="A960" t="s">
        <v>1315</v>
      </c>
      <c r="B960" s="1">
        <v>45805</v>
      </c>
      <c r="C960" t="s">
        <v>11</v>
      </c>
      <c r="D960" t="s">
        <v>19</v>
      </c>
      <c r="E960" t="s">
        <v>31</v>
      </c>
      <c r="F960">
        <v>12</v>
      </c>
      <c r="G960" s="6">
        <v>138.88</v>
      </c>
      <c r="H960" s="5">
        <v>1666.56</v>
      </c>
      <c r="I960">
        <v>5</v>
      </c>
    </row>
    <row r="961" spans="1:9" x14ac:dyDescent="0.35">
      <c r="A961" t="s">
        <v>1316</v>
      </c>
      <c r="B961" s="1">
        <v>45795</v>
      </c>
      <c r="C961" t="s">
        <v>23</v>
      </c>
      <c r="D961" t="s">
        <v>19</v>
      </c>
      <c r="E961" t="s">
        <v>20</v>
      </c>
      <c r="F961">
        <v>22</v>
      </c>
      <c r="G961" s="6">
        <v>950.08</v>
      </c>
      <c r="H961" s="5">
        <v>20901.759999999998</v>
      </c>
      <c r="I961">
        <v>3.6</v>
      </c>
    </row>
    <row r="962" spans="1:9" x14ac:dyDescent="0.35">
      <c r="A962" t="s">
        <v>1317</v>
      </c>
      <c r="B962" s="1">
        <v>45664</v>
      </c>
      <c r="C962" t="s">
        <v>11</v>
      </c>
      <c r="D962" t="s">
        <v>12</v>
      </c>
      <c r="E962" t="s">
        <v>17</v>
      </c>
      <c r="F962">
        <v>20</v>
      </c>
      <c r="G962" s="6">
        <v>862.44</v>
      </c>
      <c r="H962" s="5">
        <v>17248.8</v>
      </c>
      <c r="I962">
        <v>4.0999999999999996</v>
      </c>
    </row>
    <row r="963" spans="1:9" x14ac:dyDescent="0.35">
      <c r="A963" t="s">
        <v>1319</v>
      </c>
      <c r="B963" s="1">
        <v>45941</v>
      </c>
      <c r="C963" t="s">
        <v>11</v>
      </c>
      <c r="D963" t="s">
        <v>12</v>
      </c>
      <c r="E963" t="s">
        <v>13</v>
      </c>
      <c r="F963">
        <v>22</v>
      </c>
      <c r="G963" s="6">
        <v>352.63</v>
      </c>
      <c r="H963" s="5">
        <v>7757.86</v>
      </c>
      <c r="I963">
        <v>3.5</v>
      </c>
    </row>
    <row r="964" spans="1:9" x14ac:dyDescent="0.35">
      <c r="A964" t="s">
        <v>1320</v>
      </c>
      <c r="B964" s="1">
        <v>45943</v>
      </c>
      <c r="C964" t="s">
        <v>38</v>
      </c>
      <c r="D964" t="s">
        <v>24</v>
      </c>
      <c r="E964" t="s">
        <v>69</v>
      </c>
      <c r="F964">
        <v>17</v>
      </c>
      <c r="G964" s="6">
        <v>987.78</v>
      </c>
      <c r="H964" s="5">
        <v>16792.259999999998</v>
      </c>
      <c r="I964">
        <v>4.9000000000000004</v>
      </c>
    </row>
    <row r="965" spans="1:9" x14ac:dyDescent="0.35">
      <c r="A965" t="s">
        <v>1321</v>
      </c>
      <c r="B965" s="1">
        <v>45863</v>
      </c>
      <c r="C965" t="s">
        <v>23</v>
      </c>
      <c r="D965" t="s">
        <v>19</v>
      </c>
      <c r="E965" t="s">
        <v>31</v>
      </c>
      <c r="F965">
        <v>22</v>
      </c>
      <c r="G965" s="6">
        <v>816.72</v>
      </c>
      <c r="H965" s="5">
        <v>17967.84</v>
      </c>
      <c r="I965">
        <v>3.6</v>
      </c>
    </row>
    <row r="966" spans="1:9" x14ac:dyDescent="0.35">
      <c r="A966" t="s">
        <v>1322</v>
      </c>
      <c r="B966" s="1">
        <v>45944</v>
      </c>
      <c r="C966" t="s">
        <v>38</v>
      </c>
      <c r="D966" t="s">
        <v>12</v>
      </c>
      <c r="E966" t="s">
        <v>17</v>
      </c>
      <c r="F966">
        <v>10</v>
      </c>
      <c r="G966" s="6">
        <v>388.49</v>
      </c>
      <c r="H966" s="5">
        <v>3884.9</v>
      </c>
      <c r="I966">
        <v>3.8</v>
      </c>
    </row>
    <row r="967" spans="1:9" x14ac:dyDescent="0.35">
      <c r="A967" t="s">
        <v>1323</v>
      </c>
      <c r="B967" s="1">
        <v>45895</v>
      </c>
      <c r="C967" t="s">
        <v>16</v>
      </c>
      <c r="D967" t="s">
        <v>24</v>
      </c>
      <c r="E967" t="s">
        <v>44</v>
      </c>
      <c r="F967">
        <v>25</v>
      </c>
      <c r="G967" s="6">
        <v>149.78</v>
      </c>
      <c r="H967" s="5">
        <v>3744.5</v>
      </c>
      <c r="I967">
        <v>4.4000000000000004</v>
      </c>
    </row>
    <row r="968" spans="1:9" x14ac:dyDescent="0.35">
      <c r="A968" t="s">
        <v>1324</v>
      </c>
      <c r="B968" s="1">
        <v>45929</v>
      </c>
      <c r="C968" t="s">
        <v>16</v>
      </c>
      <c r="D968" t="s">
        <v>12</v>
      </c>
      <c r="E968" t="s">
        <v>90</v>
      </c>
      <c r="F968">
        <v>15</v>
      </c>
      <c r="G968" s="6">
        <v>664.31</v>
      </c>
      <c r="H968" s="5">
        <v>9964.65</v>
      </c>
      <c r="I968">
        <v>4.5999999999999996</v>
      </c>
    </row>
    <row r="969" spans="1:9" x14ac:dyDescent="0.35">
      <c r="A969" t="s">
        <v>1325</v>
      </c>
      <c r="B969" s="1">
        <v>46018</v>
      </c>
      <c r="C969" t="s">
        <v>11</v>
      </c>
      <c r="D969" t="s">
        <v>19</v>
      </c>
      <c r="E969" t="s">
        <v>28</v>
      </c>
      <c r="F969">
        <v>12</v>
      </c>
      <c r="G969" s="6">
        <v>936.99</v>
      </c>
      <c r="H969" s="5">
        <v>11243.88</v>
      </c>
      <c r="I969">
        <v>3.2</v>
      </c>
    </row>
    <row r="970" spans="1:9" x14ac:dyDescent="0.35">
      <c r="A970" t="s">
        <v>1326</v>
      </c>
      <c r="B970" s="1">
        <v>45957</v>
      </c>
      <c r="C970" t="s">
        <v>16</v>
      </c>
      <c r="D970" t="s">
        <v>19</v>
      </c>
      <c r="E970" t="s">
        <v>20</v>
      </c>
      <c r="F970">
        <v>2</v>
      </c>
      <c r="G970" s="6">
        <v>1171.0899999999999</v>
      </c>
      <c r="H970" s="5">
        <v>2342.1799999999998</v>
      </c>
      <c r="I970">
        <v>4.7</v>
      </c>
    </row>
    <row r="971" spans="1:9" x14ac:dyDescent="0.35">
      <c r="A971" t="s">
        <v>1327</v>
      </c>
      <c r="B971" s="1">
        <v>45808</v>
      </c>
      <c r="C971" t="s">
        <v>23</v>
      </c>
      <c r="D971" t="s">
        <v>24</v>
      </c>
      <c r="E971" t="s">
        <v>44</v>
      </c>
      <c r="F971">
        <v>18</v>
      </c>
      <c r="G971" s="6">
        <v>1484.41</v>
      </c>
      <c r="H971" s="5">
        <v>26719.38</v>
      </c>
      <c r="I971">
        <v>4.0999999999999996</v>
      </c>
    </row>
    <row r="972" spans="1:9" x14ac:dyDescent="0.35">
      <c r="A972" t="s">
        <v>1328</v>
      </c>
      <c r="B972" s="1">
        <v>45873</v>
      </c>
      <c r="C972" t="s">
        <v>11</v>
      </c>
      <c r="D972" t="s">
        <v>19</v>
      </c>
      <c r="E972" t="s">
        <v>20</v>
      </c>
      <c r="F972">
        <v>4</v>
      </c>
      <c r="G972" s="6">
        <v>908.41</v>
      </c>
      <c r="H972" s="5">
        <v>3633.64</v>
      </c>
      <c r="I972">
        <v>3.5</v>
      </c>
    </row>
    <row r="973" spans="1:9" x14ac:dyDescent="0.35">
      <c r="A973" t="s">
        <v>1330</v>
      </c>
      <c r="B973" s="1">
        <v>45876</v>
      </c>
      <c r="C973" t="s">
        <v>16</v>
      </c>
      <c r="D973" t="s">
        <v>19</v>
      </c>
      <c r="E973" t="s">
        <v>28</v>
      </c>
      <c r="F973">
        <v>13</v>
      </c>
      <c r="G973" s="6">
        <v>137.04</v>
      </c>
      <c r="H973" s="5">
        <v>1781.52</v>
      </c>
      <c r="I973">
        <v>3.5</v>
      </c>
    </row>
    <row r="974" spans="1:9" x14ac:dyDescent="0.35">
      <c r="A974" t="s">
        <v>1331</v>
      </c>
      <c r="B974" s="1">
        <v>45843</v>
      </c>
      <c r="C974" t="s">
        <v>38</v>
      </c>
      <c r="D974" t="s">
        <v>19</v>
      </c>
      <c r="E974" t="s">
        <v>31</v>
      </c>
      <c r="F974">
        <v>6</v>
      </c>
      <c r="G974" s="6">
        <v>1256.28</v>
      </c>
      <c r="H974" s="5">
        <v>7537.68</v>
      </c>
      <c r="I974">
        <v>4.0999999999999996</v>
      </c>
    </row>
    <row r="975" spans="1:9" x14ac:dyDescent="0.35">
      <c r="A975" t="s">
        <v>1332</v>
      </c>
      <c r="B975" s="1">
        <v>45677</v>
      </c>
      <c r="C975" t="s">
        <v>38</v>
      </c>
      <c r="D975" t="s">
        <v>19</v>
      </c>
      <c r="E975" t="s">
        <v>28</v>
      </c>
      <c r="F975">
        <v>11</v>
      </c>
      <c r="G975" s="6">
        <v>751.7</v>
      </c>
      <c r="H975" s="5">
        <v>8268.7000000000007</v>
      </c>
      <c r="I975">
        <v>4.5999999999999996</v>
      </c>
    </row>
    <row r="976" spans="1:9" x14ac:dyDescent="0.35">
      <c r="A976" t="s">
        <v>1333</v>
      </c>
      <c r="B976" s="1">
        <v>45812</v>
      </c>
      <c r="C976" t="s">
        <v>11</v>
      </c>
      <c r="D976" t="s">
        <v>24</v>
      </c>
      <c r="E976" t="s">
        <v>44</v>
      </c>
      <c r="F976">
        <v>15</v>
      </c>
      <c r="G976" s="6">
        <v>200.29</v>
      </c>
      <c r="H976" s="5">
        <v>3004.35</v>
      </c>
      <c r="I976">
        <v>3.3</v>
      </c>
    </row>
    <row r="977" spans="1:9" x14ac:dyDescent="0.35">
      <c r="A977" t="s">
        <v>1334</v>
      </c>
      <c r="B977" s="1">
        <v>45808</v>
      </c>
      <c r="C977" t="s">
        <v>23</v>
      </c>
      <c r="D977" t="s">
        <v>12</v>
      </c>
      <c r="E977" t="s">
        <v>13</v>
      </c>
      <c r="F977">
        <v>16</v>
      </c>
      <c r="G977" s="6">
        <v>486.8</v>
      </c>
      <c r="H977" s="5">
        <v>7788.8</v>
      </c>
      <c r="I977">
        <v>3.1</v>
      </c>
    </row>
    <row r="978" spans="1:9" x14ac:dyDescent="0.35">
      <c r="A978" t="s">
        <v>1335</v>
      </c>
      <c r="B978" s="1">
        <v>46012</v>
      </c>
      <c r="C978" t="s">
        <v>38</v>
      </c>
      <c r="D978" t="s">
        <v>12</v>
      </c>
      <c r="E978" t="s">
        <v>17</v>
      </c>
      <c r="F978">
        <v>25</v>
      </c>
      <c r="G978" s="6">
        <v>151.25</v>
      </c>
      <c r="H978" s="5">
        <v>3781.25</v>
      </c>
      <c r="I978">
        <v>3.5</v>
      </c>
    </row>
    <row r="979" spans="1:9" x14ac:dyDescent="0.35">
      <c r="A979" t="s">
        <v>1337</v>
      </c>
      <c r="B979" s="1">
        <v>45948</v>
      </c>
      <c r="C979" t="s">
        <v>16</v>
      </c>
      <c r="D979" t="s">
        <v>19</v>
      </c>
      <c r="E979" t="s">
        <v>31</v>
      </c>
      <c r="F979">
        <v>25</v>
      </c>
      <c r="G979" s="6">
        <v>522.89</v>
      </c>
      <c r="H979" s="5">
        <v>13072.25</v>
      </c>
      <c r="I979">
        <v>4</v>
      </c>
    </row>
    <row r="980" spans="1:9" x14ac:dyDescent="0.35">
      <c r="A980" t="s">
        <v>1338</v>
      </c>
      <c r="B980" s="1">
        <v>45701</v>
      </c>
      <c r="C980" t="s">
        <v>11</v>
      </c>
      <c r="D980" t="s">
        <v>19</v>
      </c>
      <c r="E980" t="s">
        <v>20</v>
      </c>
      <c r="F980">
        <v>1</v>
      </c>
      <c r="G980" s="6">
        <v>431.08</v>
      </c>
      <c r="H980" s="5">
        <v>431.08</v>
      </c>
      <c r="I980">
        <v>4.2</v>
      </c>
    </row>
    <row r="981" spans="1:9" x14ac:dyDescent="0.35">
      <c r="A981" t="s">
        <v>1339</v>
      </c>
      <c r="B981" s="1">
        <v>45823</v>
      </c>
      <c r="C981" t="s">
        <v>38</v>
      </c>
      <c r="D981" t="s">
        <v>19</v>
      </c>
      <c r="E981" t="s">
        <v>20</v>
      </c>
      <c r="F981">
        <v>12</v>
      </c>
      <c r="G981" s="6">
        <v>541.58000000000004</v>
      </c>
      <c r="H981" s="5">
        <v>6498.96</v>
      </c>
      <c r="I981">
        <v>4.2</v>
      </c>
    </row>
    <row r="982" spans="1:9" x14ac:dyDescent="0.35">
      <c r="A982" t="s">
        <v>1340</v>
      </c>
      <c r="B982" s="1">
        <v>45811</v>
      </c>
      <c r="C982" t="s">
        <v>11</v>
      </c>
      <c r="D982" t="s">
        <v>24</v>
      </c>
      <c r="E982" t="s">
        <v>44</v>
      </c>
      <c r="F982">
        <v>12</v>
      </c>
      <c r="G982" s="6">
        <v>102.78</v>
      </c>
      <c r="H982" s="5">
        <v>1233.3599999999999</v>
      </c>
      <c r="I982">
        <v>3.4</v>
      </c>
    </row>
    <row r="983" spans="1:9" x14ac:dyDescent="0.35">
      <c r="A983" t="s">
        <v>1341</v>
      </c>
      <c r="B983" s="1">
        <v>45664</v>
      </c>
      <c r="C983" t="s">
        <v>16</v>
      </c>
      <c r="D983" t="s">
        <v>19</v>
      </c>
      <c r="E983" t="s">
        <v>20</v>
      </c>
      <c r="F983">
        <v>19</v>
      </c>
      <c r="G983" s="6">
        <v>1326.24</v>
      </c>
      <c r="H983" s="5">
        <v>25198.560000000001</v>
      </c>
      <c r="I983">
        <v>4.5</v>
      </c>
    </row>
    <row r="984" spans="1:9" x14ac:dyDescent="0.35">
      <c r="A984" t="s">
        <v>1342</v>
      </c>
      <c r="B984" s="1">
        <v>45877</v>
      </c>
      <c r="C984" t="s">
        <v>23</v>
      </c>
      <c r="D984" t="s">
        <v>19</v>
      </c>
      <c r="E984" t="s">
        <v>20</v>
      </c>
      <c r="F984">
        <v>24</v>
      </c>
      <c r="G984" s="6">
        <v>347.91</v>
      </c>
      <c r="H984" s="5">
        <v>8349.84</v>
      </c>
      <c r="I984">
        <v>4.8</v>
      </c>
    </row>
    <row r="985" spans="1:9" x14ac:dyDescent="0.35">
      <c r="A985" t="s">
        <v>1343</v>
      </c>
      <c r="B985" s="1">
        <v>45678</v>
      </c>
      <c r="C985" t="s">
        <v>38</v>
      </c>
      <c r="D985" t="s">
        <v>19</v>
      </c>
      <c r="E985" t="s">
        <v>28</v>
      </c>
      <c r="F985">
        <v>7</v>
      </c>
      <c r="G985" s="6">
        <v>994.82</v>
      </c>
      <c r="H985" s="5">
        <v>6963.74</v>
      </c>
      <c r="I985">
        <v>4.3</v>
      </c>
    </row>
    <row r="986" spans="1:9" x14ac:dyDescent="0.35">
      <c r="A986" t="s">
        <v>1344</v>
      </c>
      <c r="B986" s="1">
        <v>45922</v>
      </c>
      <c r="C986" t="s">
        <v>11</v>
      </c>
      <c r="D986" t="s">
        <v>19</v>
      </c>
      <c r="E986" t="s">
        <v>20</v>
      </c>
      <c r="F986">
        <v>15</v>
      </c>
      <c r="G986" s="6">
        <v>378.94</v>
      </c>
      <c r="H986" s="5">
        <v>5684.1</v>
      </c>
      <c r="I986">
        <v>3.3</v>
      </c>
    </row>
    <row r="987" spans="1:9" x14ac:dyDescent="0.35">
      <c r="A987" t="s">
        <v>1345</v>
      </c>
      <c r="B987" s="1">
        <v>45996</v>
      </c>
      <c r="C987" t="s">
        <v>16</v>
      </c>
      <c r="D987" t="s">
        <v>24</v>
      </c>
      <c r="E987" t="s">
        <v>25</v>
      </c>
      <c r="F987">
        <v>20</v>
      </c>
      <c r="G987" s="6">
        <v>1311.41</v>
      </c>
      <c r="H987" s="5">
        <v>26228.2</v>
      </c>
      <c r="I987">
        <v>4.8</v>
      </c>
    </row>
    <row r="988" spans="1:9" x14ac:dyDescent="0.35">
      <c r="A988" t="s">
        <v>1346</v>
      </c>
      <c r="B988" s="1">
        <v>46018</v>
      </c>
      <c r="C988" t="s">
        <v>38</v>
      </c>
      <c r="D988" t="s">
        <v>24</v>
      </c>
      <c r="E988" t="s">
        <v>25</v>
      </c>
      <c r="F988">
        <v>12</v>
      </c>
      <c r="G988" s="6">
        <v>626.69000000000005</v>
      </c>
      <c r="H988" s="5">
        <v>7520.28</v>
      </c>
      <c r="I988">
        <v>4.4000000000000004</v>
      </c>
    </row>
    <row r="989" spans="1:9" x14ac:dyDescent="0.35">
      <c r="A989" t="s">
        <v>1347</v>
      </c>
      <c r="B989" s="1">
        <v>45935</v>
      </c>
      <c r="C989" t="s">
        <v>23</v>
      </c>
      <c r="D989" t="s">
        <v>24</v>
      </c>
      <c r="E989" t="s">
        <v>25</v>
      </c>
      <c r="F989">
        <v>19</v>
      </c>
      <c r="G989" s="6">
        <v>214.93</v>
      </c>
      <c r="H989" s="5">
        <v>4083.67</v>
      </c>
      <c r="I989">
        <v>3.2</v>
      </c>
    </row>
    <row r="990" spans="1:9" x14ac:dyDescent="0.35">
      <c r="A990" t="s">
        <v>1348</v>
      </c>
      <c r="B990" s="1">
        <v>45864</v>
      </c>
      <c r="C990" t="s">
        <v>38</v>
      </c>
      <c r="D990" t="s">
        <v>19</v>
      </c>
      <c r="E990" t="s">
        <v>28</v>
      </c>
      <c r="F990">
        <v>21</v>
      </c>
      <c r="G990" s="6">
        <v>1341.22</v>
      </c>
      <c r="H990" s="5">
        <v>28165.62</v>
      </c>
      <c r="I990">
        <v>4.5</v>
      </c>
    </row>
    <row r="991" spans="1:9" x14ac:dyDescent="0.35">
      <c r="A991" t="s">
        <v>1349</v>
      </c>
      <c r="B991" s="1">
        <v>45751</v>
      </c>
      <c r="C991" t="s">
        <v>16</v>
      </c>
      <c r="D991" t="s">
        <v>24</v>
      </c>
      <c r="E991" t="s">
        <v>44</v>
      </c>
      <c r="F991">
        <v>23</v>
      </c>
      <c r="G991" s="6">
        <v>120.43</v>
      </c>
      <c r="H991" s="5">
        <v>2769.89</v>
      </c>
      <c r="I991">
        <v>4.0999999999999996</v>
      </c>
    </row>
    <row r="992" spans="1:9" x14ac:dyDescent="0.35">
      <c r="A992" t="s">
        <v>1350</v>
      </c>
      <c r="B992" s="1">
        <v>45986</v>
      </c>
      <c r="C992" t="s">
        <v>38</v>
      </c>
      <c r="D992" t="s">
        <v>24</v>
      </c>
      <c r="E992" t="s">
        <v>44</v>
      </c>
      <c r="F992">
        <v>18</v>
      </c>
      <c r="G992" s="6">
        <v>1455.27</v>
      </c>
      <c r="H992" s="5">
        <v>26194.86</v>
      </c>
      <c r="I992">
        <v>3.9</v>
      </c>
    </row>
    <row r="993" spans="1:9" x14ac:dyDescent="0.35">
      <c r="A993" t="s">
        <v>1351</v>
      </c>
      <c r="B993" s="1">
        <v>45926</v>
      </c>
      <c r="C993" t="s">
        <v>23</v>
      </c>
      <c r="D993" t="s">
        <v>24</v>
      </c>
      <c r="E993" t="s">
        <v>25</v>
      </c>
      <c r="F993">
        <v>10</v>
      </c>
      <c r="G993" s="6">
        <v>1461.18</v>
      </c>
      <c r="H993" s="5">
        <v>14611.8</v>
      </c>
      <c r="I993">
        <v>4</v>
      </c>
    </row>
    <row r="994" spans="1:9" x14ac:dyDescent="0.35">
      <c r="A994" t="s">
        <v>1352</v>
      </c>
      <c r="B994" s="1">
        <v>45778</v>
      </c>
      <c r="C994" t="s">
        <v>38</v>
      </c>
      <c r="D994" t="s">
        <v>12</v>
      </c>
      <c r="E994" t="s">
        <v>17</v>
      </c>
      <c r="F994">
        <v>1</v>
      </c>
      <c r="G994" s="6">
        <v>983.69</v>
      </c>
      <c r="H994" s="5">
        <v>983.69</v>
      </c>
      <c r="I994">
        <v>3.8</v>
      </c>
    </row>
    <row r="995" spans="1:9" x14ac:dyDescent="0.35">
      <c r="A995" t="s">
        <v>1353</v>
      </c>
      <c r="B995" s="1">
        <v>45851</v>
      </c>
      <c r="C995" t="s">
        <v>23</v>
      </c>
      <c r="D995" t="s">
        <v>12</v>
      </c>
      <c r="E995" t="s">
        <v>17</v>
      </c>
      <c r="F995">
        <v>7</v>
      </c>
      <c r="G995" s="6">
        <v>362.53</v>
      </c>
      <c r="H995" s="5">
        <v>2537.71</v>
      </c>
      <c r="I995">
        <v>4.8</v>
      </c>
    </row>
    <row r="996" spans="1:9" x14ac:dyDescent="0.35">
      <c r="A996" t="s">
        <v>1355</v>
      </c>
      <c r="B996" s="1">
        <v>45692</v>
      </c>
      <c r="C996" t="s">
        <v>38</v>
      </c>
      <c r="D996" t="s">
        <v>12</v>
      </c>
      <c r="E996" t="s">
        <v>13</v>
      </c>
      <c r="F996">
        <v>3</v>
      </c>
      <c r="G996" s="6">
        <v>500.72</v>
      </c>
      <c r="H996" s="5">
        <v>1502.16</v>
      </c>
      <c r="I996">
        <v>4</v>
      </c>
    </row>
    <row r="997" spans="1:9" x14ac:dyDescent="0.35">
      <c r="A997" t="s">
        <v>1356</v>
      </c>
      <c r="B997" s="1">
        <v>45697</v>
      </c>
      <c r="C997" t="s">
        <v>11</v>
      </c>
      <c r="D997" t="s">
        <v>24</v>
      </c>
      <c r="E997" t="s">
        <v>25</v>
      </c>
      <c r="F997">
        <v>21</v>
      </c>
      <c r="G997" s="6">
        <v>1451.11</v>
      </c>
      <c r="H997" s="5">
        <v>30473.31</v>
      </c>
      <c r="I997">
        <v>3.6</v>
      </c>
    </row>
    <row r="998" spans="1:9" x14ac:dyDescent="0.35">
      <c r="A998" t="s">
        <v>1357</v>
      </c>
      <c r="B998" s="1">
        <v>45755</v>
      </c>
      <c r="C998" t="s">
        <v>23</v>
      </c>
      <c r="D998" t="s">
        <v>19</v>
      </c>
      <c r="E998" t="s">
        <v>28</v>
      </c>
      <c r="F998">
        <v>16</v>
      </c>
      <c r="G998" s="6">
        <v>1019.77</v>
      </c>
      <c r="H998" s="5">
        <v>16316.32</v>
      </c>
      <c r="I998">
        <v>4.8</v>
      </c>
    </row>
    <row r="999" spans="1:9" x14ac:dyDescent="0.35">
      <c r="A999" t="s">
        <v>1358</v>
      </c>
      <c r="B999" s="1">
        <v>45938</v>
      </c>
      <c r="C999" t="s">
        <v>16</v>
      </c>
      <c r="D999" t="s">
        <v>24</v>
      </c>
      <c r="E999" t="s">
        <v>44</v>
      </c>
      <c r="F999">
        <v>17</v>
      </c>
      <c r="G999" s="6">
        <v>142.94999999999999</v>
      </c>
      <c r="H999" s="5">
        <v>2430.15</v>
      </c>
      <c r="I999">
        <v>4.5</v>
      </c>
    </row>
    <row r="1000" spans="1:9" x14ac:dyDescent="0.35">
      <c r="A1000" t="s">
        <v>1359</v>
      </c>
      <c r="B1000" s="1">
        <v>45682</v>
      </c>
      <c r="C1000" t="s">
        <v>16</v>
      </c>
      <c r="D1000" t="s">
        <v>19</v>
      </c>
      <c r="E1000" t="s">
        <v>31</v>
      </c>
      <c r="F1000">
        <v>5</v>
      </c>
      <c r="G1000" s="6">
        <v>805.81</v>
      </c>
      <c r="H1000" s="5">
        <v>4029.05</v>
      </c>
      <c r="I1000">
        <v>4.2</v>
      </c>
    </row>
    <row r="1001" spans="1:9" x14ac:dyDescent="0.35">
      <c r="A1001" t="s">
        <v>1361</v>
      </c>
      <c r="B1001" s="1">
        <v>45720</v>
      </c>
      <c r="C1001" t="s">
        <v>38</v>
      </c>
      <c r="D1001" t="s">
        <v>19</v>
      </c>
      <c r="E1001" t="s">
        <v>31</v>
      </c>
      <c r="F1001">
        <v>20</v>
      </c>
      <c r="G1001" s="6">
        <v>78.88</v>
      </c>
      <c r="H1001" s="5">
        <v>1577.6</v>
      </c>
      <c r="I1001">
        <v>3.7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B69D9-9743-4920-8F0B-B52BE69CFB61}">
  <dimension ref="B41:O54"/>
  <sheetViews>
    <sheetView tabSelected="1" zoomScale="80" zoomScaleNormal="80" workbookViewId="0">
      <selection sqref="A1:A1048576"/>
    </sheetView>
  </sheetViews>
  <sheetFormatPr defaultRowHeight="14.5" x14ac:dyDescent="0.35"/>
  <cols>
    <col min="2" max="2" width="22.6328125" bestFit="1" customWidth="1"/>
    <col min="3" max="3" width="14.90625" bestFit="1" customWidth="1"/>
    <col min="5" max="5" width="14.7265625" bestFit="1" customWidth="1"/>
    <col min="6" max="6" width="15.36328125" bestFit="1" customWidth="1"/>
    <col min="8" max="8" width="14.7265625" bestFit="1" customWidth="1"/>
    <col min="9" max="9" width="15.36328125" bestFit="1" customWidth="1"/>
    <col min="11" max="11" width="14.7265625" bestFit="1" customWidth="1"/>
    <col min="12" max="12" width="15.36328125" bestFit="1" customWidth="1"/>
    <col min="14" max="14" width="14.7265625" bestFit="1" customWidth="1"/>
    <col min="15" max="15" width="15.36328125" bestFit="1" customWidth="1"/>
  </cols>
  <sheetData>
    <row r="41" spans="2:15" x14ac:dyDescent="0.35">
      <c r="B41" t="s">
        <v>1378</v>
      </c>
      <c r="C41" s="8">
        <f>SUM(tblsales[Revenue])</f>
        <v>10323697.320000017</v>
      </c>
      <c r="E41" s="3" t="s">
        <v>1363</v>
      </c>
      <c r="F41" t="s">
        <v>1362</v>
      </c>
      <c r="H41" s="3" t="s">
        <v>1363</v>
      </c>
      <c r="I41" t="s">
        <v>1362</v>
      </c>
      <c r="K41" s="3" t="s">
        <v>1363</v>
      </c>
      <c r="L41" t="s">
        <v>1362</v>
      </c>
      <c r="N41" s="3" t="s">
        <v>1363</v>
      </c>
      <c r="O41" t="s">
        <v>1362</v>
      </c>
    </row>
    <row r="42" spans="2:15" x14ac:dyDescent="0.35">
      <c r="B42" t="s">
        <v>1377</v>
      </c>
      <c r="C42">
        <f>COUNTA(tblsales[OrderID])</f>
        <v>1000</v>
      </c>
      <c r="E42" s="4" t="s">
        <v>11</v>
      </c>
      <c r="F42">
        <v>2910054.0999999982</v>
      </c>
      <c r="H42" s="4" t="s">
        <v>19</v>
      </c>
      <c r="I42">
        <v>3633267.9699999993</v>
      </c>
      <c r="K42" s="4" t="s">
        <v>28</v>
      </c>
      <c r="L42" s="7">
        <v>1291249.0100000002</v>
      </c>
      <c r="N42" s="4" t="s">
        <v>1365</v>
      </c>
      <c r="O42">
        <v>1000638.9099999996</v>
      </c>
    </row>
    <row r="43" spans="2:15" x14ac:dyDescent="0.35">
      <c r="B43" t="s">
        <v>1379</v>
      </c>
      <c r="C43">
        <f>SUM(tblsales[UnitsSold])</f>
        <v>13321</v>
      </c>
      <c r="E43" s="4" t="s">
        <v>38</v>
      </c>
      <c r="F43" s="7">
        <v>2593096.9900000002</v>
      </c>
      <c r="H43" s="4" t="s">
        <v>24</v>
      </c>
      <c r="I43">
        <v>3512479.6399999959</v>
      </c>
      <c r="K43" s="4" t="s">
        <v>25</v>
      </c>
      <c r="L43" s="7">
        <v>1268985.2</v>
      </c>
      <c r="N43" s="4" t="s">
        <v>1366</v>
      </c>
      <c r="O43">
        <v>754708.59000000032</v>
      </c>
    </row>
    <row r="44" spans="2:15" x14ac:dyDescent="0.35">
      <c r="B44" t="s">
        <v>1380</v>
      </c>
      <c r="C44" s="2">
        <f>AVERAGE(tblsales[CustomerSatisfaction])</f>
        <v>4.0094000000000003</v>
      </c>
      <c r="E44" s="4" t="s">
        <v>16</v>
      </c>
      <c r="F44" s="7">
        <v>2463349.5099999993</v>
      </c>
      <c r="H44" s="4" t="s">
        <v>12</v>
      </c>
      <c r="I44">
        <v>3177949.71</v>
      </c>
      <c r="K44" s="4" t="s">
        <v>31</v>
      </c>
      <c r="L44" s="7">
        <v>1262282.58</v>
      </c>
      <c r="N44" s="4" t="s">
        <v>1367</v>
      </c>
      <c r="O44">
        <v>875122.05000000016</v>
      </c>
    </row>
    <row r="45" spans="2:15" x14ac:dyDescent="0.35">
      <c r="E45" s="4" t="s">
        <v>23</v>
      </c>
      <c r="F45" s="7">
        <v>2357196.7199999997</v>
      </c>
      <c r="H45" s="4" t="s">
        <v>1364</v>
      </c>
      <c r="I45">
        <v>10323697.319999997</v>
      </c>
      <c r="K45" s="4" t="s">
        <v>90</v>
      </c>
      <c r="L45" s="7">
        <v>1252917.0500000003</v>
      </c>
      <c r="N45" s="4" t="s">
        <v>1368</v>
      </c>
      <c r="O45">
        <v>844636.56</v>
      </c>
    </row>
    <row r="46" spans="2:15" x14ac:dyDescent="0.35">
      <c r="E46" s="4" t="s">
        <v>1364</v>
      </c>
      <c r="F46">
        <v>10323697.319999998</v>
      </c>
      <c r="K46" s="4" t="s">
        <v>44</v>
      </c>
      <c r="L46" s="7">
        <v>1248241.9699999995</v>
      </c>
      <c r="N46" s="4" t="s">
        <v>1369</v>
      </c>
      <c r="O46">
        <v>1087347.6300000001</v>
      </c>
    </row>
    <row r="47" spans="2:15" x14ac:dyDescent="0.35">
      <c r="K47" s="4" t="s">
        <v>20</v>
      </c>
      <c r="L47" s="7">
        <v>1079736.3800000004</v>
      </c>
      <c r="N47" s="4" t="s">
        <v>1370</v>
      </c>
      <c r="O47">
        <v>858592.61999999965</v>
      </c>
    </row>
    <row r="48" spans="2:15" x14ac:dyDescent="0.35">
      <c r="K48" s="4" t="s">
        <v>69</v>
      </c>
      <c r="L48" s="7">
        <v>995252.46999999986</v>
      </c>
      <c r="N48" s="4" t="s">
        <v>1371</v>
      </c>
      <c r="O48">
        <v>790059.39999999967</v>
      </c>
    </row>
    <row r="49" spans="11:15" x14ac:dyDescent="0.35">
      <c r="K49" s="4" t="s">
        <v>13</v>
      </c>
      <c r="L49" s="7">
        <v>988293.35</v>
      </c>
      <c r="N49" s="4" t="s">
        <v>1372</v>
      </c>
      <c r="O49">
        <v>795408.35000000021</v>
      </c>
    </row>
    <row r="50" spans="11:15" x14ac:dyDescent="0.35">
      <c r="K50" s="4" t="s">
        <v>17</v>
      </c>
      <c r="L50" s="7">
        <v>936739.30999999994</v>
      </c>
      <c r="N50" s="4" t="s">
        <v>1373</v>
      </c>
      <c r="O50">
        <v>833484.58</v>
      </c>
    </row>
    <row r="51" spans="11:15" x14ac:dyDescent="0.35">
      <c r="K51" s="4" t="s">
        <v>1364</v>
      </c>
      <c r="L51">
        <v>10323697.32</v>
      </c>
      <c r="N51" s="4" t="s">
        <v>1374</v>
      </c>
      <c r="O51">
        <v>837914.27999999991</v>
      </c>
    </row>
    <row r="52" spans="11:15" x14ac:dyDescent="0.35">
      <c r="N52" s="4" t="s">
        <v>1375</v>
      </c>
      <c r="O52">
        <v>924475.74</v>
      </c>
    </row>
    <row r="53" spans="11:15" x14ac:dyDescent="0.35">
      <c r="N53" s="4" t="s">
        <v>1376</v>
      </c>
      <c r="O53">
        <v>721308.6100000001</v>
      </c>
    </row>
    <row r="54" spans="11:15" x14ac:dyDescent="0.35">
      <c r="N54" s="4" t="s">
        <v>1364</v>
      </c>
      <c r="O54">
        <v>10323697.319999998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7FB0C-6BAE-409B-8E21-B970B0790A31}">
  <dimension ref="B1:H18"/>
  <sheetViews>
    <sheetView zoomScale="70" zoomScaleNormal="70" workbookViewId="0">
      <selection activeCell="B9" sqref="B9:H9"/>
    </sheetView>
  </sheetViews>
  <sheetFormatPr defaultRowHeight="14.5" x14ac:dyDescent="0.35"/>
  <cols>
    <col min="2" max="2" width="102.36328125" customWidth="1"/>
    <col min="4" max="4" width="8.81640625" customWidth="1"/>
  </cols>
  <sheetData>
    <row r="1" spans="2:8" x14ac:dyDescent="0.35">
      <c r="D1" s="9"/>
    </row>
    <row r="2" spans="2:8" x14ac:dyDescent="0.35">
      <c r="B2" s="12" t="s">
        <v>1381</v>
      </c>
    </row>
    <row r="3" spans="2:8" ht="45.5" customHeight="1" x14ac:dyDescent="0.35">
      <c r="B3" s="15" t="s">
        <v>1392</v>
      </c>
      <c r="C3" s="16"/>
      <c r="D3" s="16"/>
      <c r="E3" s="16"/>
      <c r="F3" s="16"/>
      <c r="G3" s="16"/>
      <c r="H3" s="16"/>
    </row>
    <row r="4" spans="2:8" x14ac:dyDescent="0.35">
      <c r="B4" s="11"/>
    </row>
    <row r="5" spans="2:8" x14ac:dyDescent="0.35">
      <c r="B5" s="10" t="s">
        <v>1382</v>
      </c>
    </row>
    <row r="6" spans="2:8" ht="15.5" x14ac:dyDescent="0.35">
      <c r="B6" s="15" t="s">
        <v>1383</v>
      </c>
      <c r="C6" s="15"/>
      <c r="D6" s="15"/>
      <c r="E6" s="15"/>
      <c r="F6" s="15"/>
      <c r="G6" s="15"/>
      <c r="H6" s="15"/>
    </row>
    <row r="8" spans="2:8" x14ac:dyDescent="0.35">
      <c r="B8" s="10" t="s">
        <v>1384</v>
      </c>
    </row>
    <row r="9" spans="2:8" s="13" customFormat="1" ht="46" customHeight="1" x14ac:dyDescent="0.35">
      <c r="B9" s="15" t="s">
        <v>1388</v>
      </c>
      <c r="C9" s="15"/>
      <c r="D9" s="15"/>
      <c r="E9" s="15"/>
      <c r="F9" s="15"/>
      <c r="G9" s="15"/>
      <c r="H9" s="15"/>
    </row>
    <row r="11" spans="2:8" x14ac:dyDescent="0.35">
      <c r="B11" s="10" t="s">
        <v>1385</v>
      </c>
    </row>
    <row r="12" spans="2:8" ht="30.5" customHeight="1" x14ac:dyDescent="0.35">
      <c r="B12" s="15" t="s">
        <v>1389</v>
      </c>
      <c r="C12" s="15"/>
      <c r="D12" s="15"/>
      <c r="E12" s="15"/>
      <c r="F12" s="15"/>
      <c r="G12" s="15"/>
      <c r="H12" s="15"/>
    </row>
    <row r="14" spans="2:8" x14ac:dyDescent="0.35">
      <c r="B14" s="10" t="s">
        <v>1386</v>
      </c>
    </row>
    <row r="15" spans="2:8" ht="49" customHeight="1" x14ac:dyDescent="0.35">
      <c r="B15" s="15" t="s">
        <v>1390</v>
      </c>
      <c r="C15" s="15"/>
      <c r="D15" s="15"/>
      <c r="E15" s="15"/>
      <c r="F15" s="15"/>
      <c r="G15" s="15"/>
    </row>
    <row r="17" spans="2:8" x14ac:dyDescent="0.35">
      <c r="B17" s="10" t="s">
        <v>1387</v>
      </c>
    </row>
    <row r="18" spans="2:8" ht="81.5" customHeight="1" x14ac:dyDescent="0.35">
      <c r="B18" s="14" t="s">
        <v>1391</v>
      </c>
      <c r="C18" s="14"/>
      <c r="D18" s="14"/>
      <c r="E18" s="14"/>
      <c r="F18" s="14"/>
      <c r="G18" s="14"/>
      <c r="H18" s="14"/>
    </row>
  </sheetData>
  <mergeCells count="6">
    <mergeCell ref="B18:H18"/>
    <mergeCell ref="B3:H3"/>
    <mergeCell ref="B6:H6"/>
    <mergeCell ref="B9:H9"/>
    <mergeCell ref="B12:H12"/>
    <mergeCell ref="B15:G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45CD7-E872-48EB-98D4-71C0299B6D75}">
  <dimension ref="A1:I1001"/>
  <sheetViews>
    <sheetView workbookViewId="0">
      <selection activeCell="M19" sqref="M19"/>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C2" t="s">
        <v>11</v>
      </c>
      <c r="D2" t="s">
        <v>12</v>
      </c>
      <c r="E2" t="s">
        <v>13</v>
      </c>
      <c r="F2">
        <v>4</v>
      </c>
      <c r="G2">
        <v>594.04999999999995</v>
      </c>
      <c r="H2">
        <v>2376.1999999999998</v>
      </c>
      <c r="I2">
        <v>4.4000000000000004</v>
      </c>
    </row>
    <row r="3" spans="1:9" x14ac:dyDescent="0.35">
      <c r="A3" t="s">
        <v>14</v>
      </c>
      <c r="B3" t="s">
        <v>15</v>
      </c>
      <c r="C3" t="s">
        <v>16</v>
      </c>
      <c r="D3" t="s">
        <v>12</v>
      </c>
      <c r="E3" t="s">
        <v>17</v>
      </c>
      <c r="F3">
        <v>20</v>
      </c>
      <c r="G3">
        <v>1162.1500000000001</v>
      </c>
      <c r="H3">
        <v>23243</v>
      </c>
      <c r="I3">
        <v>4.3</v>
      </c>
    </row>
    <row r="4" spans="1:9" x14ac:dyDescent="0.35">
      <c r="A4" t="s">
        <v>18</v>
      </c>
      <c r="B4" t="s">
        <v>15</v>
      </c>
      <c r="C4" t="s">
        <v>16</v>
      </c>
      <c r="D4" t="s">
        <v>19</v>
      </c>
      <c r="E4" t="s">
        <v>20</v>
      </c>
      <c r="F4">
        <v>17</v>
      </c>
      <c r="G4">
        <v>866.81</v>
      </c>
      <c r="H4">
        <v>14735.77</v>
      </c>
      <c r="I4">
        <v>3.7</v>
      </c>
    </row>
    <row r="5" spans="1:9" x14ac:dyDescent="0.35">
      <c r="A5" t="s">
        <v>21</v>
      </c>
      <c r="B5" t="s">
        <v>22</v>
      </c>
      <c r="C5" t="s">
        <v>23</v>
      </c>
      <c r="D5" t="s">
        <v>24</v>
      </c>
      <c r="E5" t="s">
        <v>25</v>
      </c>
      <c r="F5">
        <v>12</v>
      </c>
      <c r="G5">
        <v>1456.43</v>
      </c>
      <c r="H5">
        <v>17477.16</v>
      </c>
      <c r="I5">
        <v>4.2</v>
      </c>
    </row>
    <row r="6" spans="1:9" x14ac:dyDescent="0.35">
      <c r="A6" t="s">
        <v>26</v>
      </c>
      <c r="B6" t="s">
        <v>27</v>
      </c>
      <c r="C6" t="s">
        <v>11</v>
      </c>
      <c r="D6" t="s">
        <v>19</v>
      </c>
      <c r="E6" t="s">
        <v>28</v>
      </c>
      <c r="F6">
        <v>20</v>
      </c>
      <c r="G6">
        <v>817.39</v>
      </c>
      <c r="H6">
        <v>16347.8</v>
      </c>
      <c r="I6">
        <v>3.4</v>
      </c>
    </row>
    <row r="7" spans="1:9" x14ac:dyDescent="0.35">
      <c r="A7" t="s">
        <v>29</v>
      </c>
      <c r="B7" t="s">
        <v>30</v>
      </c>
      <c r="C7" t="s">
        <v>16</v>
      </c>
      <c r="D7" t="s">
        <v>19</v>
      </c>
      <c r="E7" t="s">
        <v>31</v>
      </c>
      <c r="F7">
        <v>7</v>
      </c>
      <c r="G7">
        <v>1014.6</v>
      </c>
      <c r="H7">
        <v>7102.2</v>
      </c>
      <c r="I7">
        <v>3.3</v>
      </c>
    </row>
    <row r="8" spans="1:9" x14ac:dyDescent="0.35">
      <c r="A8" t="s">
        <v>32</v>
      </c>
      <c r="B8" t="s">
        <v>33</v>
      </c>
      <c r="C8" t="s">
        <v>16</v>
      </c>
      <c r="D8" t="s">
        <v>19</v>
      </c>
      <c r="E8" t="s">
        <v>31</v>
      </c>
      <c r="F8">
        <v>23</v>
      </c>
      <c r="G8">
        <v>1151.79</v>
      </c>
      <c r="H8">
        <v>26491.17</v>
      </c>
      <c r="I8">
        <v>3</v>
      </c>
    </row>
    <row r="9" spans="1:9" x14ac:dyDescent="0.35">
      <c r="A9" t="s">
        <v>34</v>
      </c>
      <c r="B9" t="s">
        <v>35</v>
      </c>
      <c r="C9" t="s">
        <v>23</v>
      </c>
      <c r="D9" t="s">
        <v>19</v>
      </c>
      <c r="E9" t="s">
        <v>28</v>
      </c>
      <c r="F9">
        <v>19</v>
      </c>
      <c r="G9">
        <v>1149.69</v>
      </c>
      <c r="H9">
        <v>21844.11</v>
      </c>
      <c r="I9">
        <v>3.6</v>
      </c>
    </row>
    <row r="10" spans="1:9" x14ac:dyDescent="0.35">
      <c r="A10" t="s">
        <v>36</v>
      </c>
      <c r="B10" t="s">
        <v>37</v>
      </c>
      <c r="C10" t="s">
        <v>38</v>
      </c>
      <c r="D10" t="s">
        <v>24</v>
      </c>
      <c r="E10" t="s">
        <v>25</v>
      </c>
      <c r="F10">
        <v>22</v>
      </c>
      <c r="G10">
        <v>1402.06</v>
      </c>
      <c r="H10">
        <v>30845.32</v>
      </c>
      <c r="I10">
        <v>3.5</v>
      </c>
    </row>
    <row r="11" spans="1:9" x14ac:dyDescent="0.35">
      <c r="A11" t="s">
        <v>39</v>
      </c>
      <c r="B11" t="s">
        <v>40</v>
      </c>
      <c r="C11" t="s">
        <v>16</v>
      </c>
      <c r="D11" t="s">
        <v>19</v>
      </c>
      <c r="E11" t="s">
        <v>31</v>
      </c>
      <c r="F11">
        <v>12</v>
      </c>
      <c r="G11">
        <v>867.3</v>
      </c>
      <c r="H11">
        <v>10407.6</v>
      </c>
      <c r="I11">
        <v>4.0999999999999996</v>
      </c>
    </row>
    <row r="12" spans="1:9" x14ac:dyDescent="0.35">
      <c r="A12" t="s">
        <v>41</v>
      </c>
      <c r="B12" t="s">
        <v>15</v>
      </c>
      <c r="C12" t="s">
        <v>16</v>
      </c>
      <c r="D12" t="s">
        <v>19</v>
      </c>
      <c r="E12" t="s">
        <v>31</v>
      </c>
      <c r="F12">
        <v>15</v>
      </c>
      <c r="G12">
        <v>391.94</v>
      </c>
      <c r="H12">
        <v>5879.1</v>
      </c>
      <c r="I12">
        <v>4.9000000000000004</v>
      </c>
    </row>
    <row r="13" spans="1:9" x14ac:dyDescent="0.35">
      <c r="A13" t="s">
        <v>42</v>
      </c>
      <c r="B13" t="s">
        <v>43</v>
      </c>
      <c r="C13" t="s">
        <v>23</v>
      </c>
      <c r="D13" t="s">
        <v>24</v>
      </c>
      <c r="E13" t="s">
        <v>44</v>
      </c>
      <c r="F13">
        <v>2</v>
      </c>
      <c r="G13">
        <v>519.08000000000004</v>
      </c>
      <c r="H13">
        <v>1038.1600000000001</v>
      </c>
      <c r="I13">
        <v>4.5</v>
      </c>
    </row>
    <row r="14" spans="1:9" x14ac:dyDescent="0.35">
      <c r="A14" t="s">
        <v>45</v>
      </c>
      <c r="B14" t="s">
        <v>46</v>
      </c>
      <c r="C14" t="s">
        <v>23</v>
      </c>
      <c r="D14" t="s">
        <v>24</v>
      </c>
      <c r="E14" t="s">
        <v>44</v>
      </c>
      <c r="F14">
        <v>10</v>
      </c>
      <c r="G14">
        <v>987.23</v>
      </c>
      <c r="H14">
        <v>9872.2999999999993</v>
      </c>
      <c r="I14">
        <v>4.5999999999999996</v>
      </c>
    </row>
    <row r="15" spans="1:9" x14ac:dyDescent="0.35">
      <c r="A15" t="s">
        <v>47</v>
      </c>
      <c r="B15" t="s">
        <v>48</v>
      </c>
      <c r="C15" t="s">
        <v>23</v>
      </c>
      <c r="D15" t="s">
        <v>19</v>
      </c>
      <c r="E15" t="s">
        <v>28</v>
      </c>
      <c r="F15">
        <v>8</v>
      </c>
      <c r="G15">
        <v>1341.65</v>
      </c>
      <c r="H15">
        <v>10733.2</v>
      </c>
      <c r="I15">
        <v>4</v>
      </c>
    </row>
    <row r="16" spans="1:9" x14ac:dyDescent="0.35">
      <c r="A16" t="s">
        <v>49</v>
      </c>
      <c r="B16" t="s">
        <v>50</v>
      </c>
      <c r="C16" t="s">
        <v>16</v>
      </c>
      <c r="D16" t="s">
        <v>12</v>
      </c>
      <c r="E16" t="s">
        <v>17</v>
      </c>
      <c r="F16">
        <v>10</v>
      </c>
      <c r="G16">
        <v>405.17</v>
      </c>
      <c r="H16">
        <v>4051.7</v>
      </c>
      <c r="I16">
        <v>4.5</v>
      </c>
    </row>
    <row r="17" spans="1:9" x14ac:dyDescent="0.35">
      <c r="A17" t="s">
        <v>51</v>
      </c>
      <c r="B17" t="s">
        <v>52</v>
      </c>
      <c r="C17" t="s">
        <v>16</v>
      </c>
      <c r="D17" t="s">
        <v>19</v>
      </c>
      <c r="E17" t="s">
        <v>28</v>
      </c>
      <c r="F17">
        <v>3</v>
      </c>
      <c r="G17">
        <v>1261.8800000000001</v>
      </c>
      <c r="H17">
        <v>3785.64</v>
      </c>
      <c r="I17">
        <v>4.5</v>
      </c>
    </row>
    <row r="18" spans="1:9" x14ac:dyDescent="0.35">
      <c r="A18" t="s">
        <v>53</v>
      </c>
      <c r="B18" t="s">
        <v>54</v>
      </c>
      <c r="C18" t="s">
        <v>38</v>
      </c>
      <c r="D18" t="s">
        <v>24</v>
      </c>
      <c r="E18" t="s">
        <v>25</v>
      </c>
      <c r="F18">
        <v>17</v>
      </c>
      <c r="G18">
        <v>742.5</v>
      </c>
      <c r="H18">
        <v>12622.5</v>
      </c>
      <c r="I18">
        <v>4</v>
      </c>
    </row>
    <row r="19" spans="1:9" x14ac:dyDescent="0.35">
      <c r="A19" t="s">
        <v>55</v>
      </c>
      <c r="B19" t="s">
        <v>56</v>
      </c>
      <c r="C19" t="s">
        <v>38</v>
      </c>
      <c r="D19" t="s">
        <v>24</v>
      </c>
      <c r="E19" t="s">
        <v>25</v>
      </c>
      <c r="F19">
        <v>18</v>
      </c>
      <c r="G19">
        <v>532.83000000000004</v>
      </c>
      <c r="H19">
        <v>9590.94</v>
      </c>
      <c r="I19">
        <v>4.7</v>
      </c>
    </row>
    <row r="20" spans="1:9" x14ac:dyDescent="0.35">
      <c r="A20" t="s">
        <v>57</v>
      </c>
      <c r="B20" t="s">
        <v>58</v>
      </c>
      <c r="C20" t="s">
        <v>23</v>
      </c>
      <c r="D20" t="s">
        <v>19</v>
      </c>
      <c r="E20" t="s">
        <v>28</v>
      </c>
      <c r="F20">
        <v>2</v>
      </c>
      <c r="G20">
        <v>361.73</v>
      </c>
      <c r="H20">
        <v>723.46</v>
      </c>
      <c r="I20">
        <v>3.9</v>
      </c>
    </row>
    <row r="21" spans="1:9" x14ac:dyDescent="0.35">
      <c r="A21" t="s">
        <v>59</v>
      </c>
      <c r="B21" t="s">
        <v>60</v>
      </c>
      <c r="C21" t="s">
        <v>16</v>
      </c>
      <c r="D21" t="s">
        <v>24</v>
      </c>
      <c r="E21" t="s">
        <v>25</v>
      </c>
      <c r="F21">
        <v>19</v>
      </c>
      <c r="G21">
        <v>597.28</v>
      </c>
      <c r="H21">
        <v>11348.32</v>
      </c>
      <c r="I21">
        <v>4.2</v>
      </c>
    </row>
    <row r="22" spans="1:9" x14ac:dyDescent="0.35">
      <c r="A22" t="s">
        <v>61</v>
      </c>
      <c r="B22" t="s">
        <v>62</v>
      </c>
      <c r="C22" t="s">
        <v>23</v>
      </c>
      <c r="D22" t="s">
        <v>19</v>
      </c>
      <c r="E22" t="s">
        <v>20</v>
      </c>
      <c r="F22">
        <v>11</v>
      </c>
      <c r="G22">
        <v>491.48</v>
      </c>
      <c r="H22">
        <v>5406.28</v>
      </c>
      <c r="I22">
        <v>4.0999999999999996</v>
      </c>
    </row>
    <row r="23" spans="1:9" x14ac:dyDescent="0.35">
      <c r="A23" t="s">
        <v>63</v>
      </c>
      <c r="B23" t="s">
        <v>64</v>
      </c>
      <c r="C23" t="s">
        <v>23</v>
      </c>
      <c r="D23" t="s">
        <v>12</v>
      </c>
      <c r="E23" t="s">
        <v>17</v>
      </c>
      <c r="F23">
        <v>1</v>
      </c>
      <c r="G23">
        <v>1249.5899999999999</v>
      </c>
      <c r="H23">
        <v>1249.5899999999999</v>
      </c>
      <c r="I23">
        <v>3.8</v>
      </c>
    </row>
    <row r="24" spans="1:9" x14ac:dyDescent="0.35">
      <c r="A24" t="s">
        <v>65</v>
      </c>
      <c r="B24" t="s">
        <v>66</v>
      </c>
      <c r="C24" t="s">
        <v>23</v>
      </c>
      <c r="D24" t="s">
        <v>19</v>
      </c>
      <c r="E24" t="s">
        <v>31</v>
      </c>
      <c r="F24">
        <v>10</v>
      </c>
      <c r="G24">
        <v>947.84</v>
      </c>
      <c r="H24">
        <v>9478.4</v>
      </c>
      <c r="I24">
        <v>4.3</v>
      </c>
    </row>
    <row r="25" spans="1:9" x14ac:dyDescent="0.35">
      <c r="A25" t="s">
        <v>67</v>
      </c>
      <c r="B25" t="s">
        <v>68</v>
      </c>
      <c r="C25" t="s">
        <v>11</v>
      </c>
      <c r="D25" t="s">
        <v>24</v>
      </c>
      <c r="E25" t="s">
        <v>69</v>
      </c>
      <c r="F25">
        <v>21</v>
      </c>
      <c r="G25">
        <v>658.43</v>
      </c>
      <c r="H25">
        <v>13827.03</v>
      </c>
      <c r="I25">
        <v>4.5</v>
      </c>
    </row>
    <row r="26" spans="1:9" x14ac:dyDescent="0.35">
      <c r="A26" t="s">
        <v>70</v>
      </c>
      <c r="B26" t="s">
        <v>71</v>
      </c>
      <c r="C26" t="s">
        <v>38</v>
      </c>
      <c r="D26" t="s">
        <v>12</v>
      </c>
      <c r="E26" t="s">
        <v>17</v>
      </c>
      <c r="F26">
        <v>21</v>
      </c>
      <c r="G26">
        <v>1483.38</v>
      </c>
      <c r="H26">
        <v>31150.98</v>
      </c>
      <c r="I26">
        <v>4.3</v>
      </c>
    </row>
    <row r="27" spans="1:9" x14ac:dyDescent="0.35">
      <c r="A27" t="s">
        <v>72</v>
      </c>
      <c r="B27" t="s">
        <v>73</v>
      </c>
      <c r="C27" t="s">
        <v>16</v>
      </c>
      <c r="D27" t="s">
        <v>19</v>
      </c>
      <c r="E27" t="s">
        <v>28</v>
      </c>
      <c r="F27">
        <v>11</v>
      </c>
      <c r="G27">
        <v>1137.79</v>
      </c>
      <c r="H27">
        <v>12515.69</v>
      </c>
      <c r="I27">
        <v>4.9000000000000004</v>
      </c>
    </row>
    <row r="28" spans="1:9" x14ac:dyDescent="0.35">
      <c r="A28" t="s">
        <v>74</v>
      </c>
      <c r="B28" t="s">
        <v>56</v>
      </c>
      <c r="C28" t="s">
        <v>16</v>
      </c>
      <c r="D28" t="s">
        <v>24</v>
      </c>
      <c r="E28" t="s">
        <v>25</v>
      </c>
      <c r="F28">
        <v>12</v>
      </c>
      <c r="G28">
        <v>1452.65</v>
      </c>
      <c r="H28">
        <v>17431.8</v>
      </c>
      <c r="I28">
        <v>3.5</v>
      </c>
    </row>
    <row r="29" spans="1:9" x14ac:dyDescent="0.35">
      <c r="A29" t="s">
        <v>75</v>
      </c>
      <c r="B29" t="s">
        <v>76</v>
      </c>
      <c r="C29" t="s">
        <v>16</v>
      </c>
      <c r="D29" t="s">
        <v>12</v>
      </c>
      <c r="E29" t="s">
        <v>13</v>
      </c>
      <c r="F29">
        <v>10</v>
      </c>
      <c r="G29">
        <v>1223.71</v>
      </c>
      <c r="H29">
        <v>12237.1</v>
      </c>
      <c r="I29">
        <v>4.2</v>
      </c>
    </row>
    <row r="30" spans="1:9" x14ac:dyDescent="0.35">
      <c r="A30" t="s">
        <v>77</v>
      </c>
      <c r="B30" t="s">
        <v>78</v>
      </c>
      <c r="C30" t="s">
        <v>11</v>
      </c>
      <c r="D30" t="s">
        <v>19</v>
      </c>
      <c r="E30" t="s">
        <v>28</v>
      </c>
      <c r="F30">
        <v>16</v>
      </c>
      <c r="G30">
        <v>969.77</v>
      </c>
      <c r="H30">
        <v>15516.32</v>
      </c>
      <c r="I30">
        <v>3.1</v>
      </c>
    </row>
    <row r="31" spans="1:9" x14ac:dyDescent="0.35">
      <c r="A31" t="s">
        <v>79</v>
      </c>
      <c r="B31" t="s">
        <v>80</v>
      </c>
      <c r="C31" t="s">
        <v>23</v>
      </c>
      <c r="D31" t="s">
        <v>12</v>
      </c>
      <c r="E31" t="s">
        <v>17</v>
      </c>
      <c r="F31">
        <v>11</v>
      </c>
      <c r="G31">
        <v>120.88</v>
      </c>
      <c r="H31">
        <v>1329.68</v>
      </c>
      <c r="I31">
        <v>4.3</v>
      </c>
    </row>
    <row r="32" spans="1:9" x14ac:dyDescent="0.35">
      <c r="A32" t="s">
        <v>81</v>
      </c>
      <c r="B32" t="s">
        <v>82</v>
      </c>
      <c r="C32" t="s">
        <v>23</v>
      </c>
      <c r="D32" t="s">
        <v>24</v>
      </c>
      <c r="E32" t="s">
        <v>25</v>
      </c>
      <c r="F32">
        <v>3</v>
      </c>
      <c r="G32">
        <v>542.76</v>
      </c>
      <c r="H32">
        <v>1628.28</v>
      </c>
      <c r="I32">
        <v>3.9</v>
      </c>
    </row>
    <row r="33" spans="1:9" x14ac:dyDescent="0.35">
      <c r="A33" t="s">
        <v>83</v>
      </c>
      <c r="B33" t="s">
        <v>84</v>
      </c>
      <c r="C33" t="s">
        <v>23</v>
      </c>
      <c r="D33" t="s">
        <v>12</v>
      </c>
      <c r="E33" t="s">
        <v>13</v>
      </c>
      <c r="F33">
        <v>6</v>
      </c>
      <c r="G33">
        <v>172.45</v>
      </c>
      <c r="H33">
        <v>1034.7</v>
      </c>
      <c r="I33">
        <v>3.5</v>
      </c>
    </row>
    <row r="34" spans="1:9" x14ac:dyDescent="0.35">
      <c r="A34" t="s">
        <v>85</v>
      </c>
      <c r="B34" t="s">
        <v>46</v>
      </c>
      <c r="C34" t="s">
        <v>23</v>
      </c>
      <c r="D34" t="s">
        <v>19</v>
      </c>
      <c r="E34" t="s">
        <v>31</v>
      </c>
      <c r="F34">
        <v>12</v>
      </c>
      <c r="G34">
        <v>304.66000000000003</v>
      </c>
      <c r="H34">
        <v>3655.92</v>
      </c>
      <c r="I34">
        <v>4.4000000000000004</v>
      </c>
    </row>
    <row r="35" spans="1:9" x14ac:dyDescent="0.35">
      <c r="A35" t="s">
        <v>86</v>
      </c>
      <c r="B35" t="s">
        <v>87</v>
      </c>
      <c r="C35" t="s">
        <v>11</v>
      </c>
      <c r="D35" t="s">
        <v>19</v>
      </c>
      <c r="E35" t="s">
        <v>28</v>
      </c>
      <c r="F35">
        <v>25</v>
      </c>
      <c r="G35">
        <v>873.49</v>
      </c>
      <c r="H35">
        <v>21837.25</v>
      </c>
      <c r="I35">
        <v>3.6</v>
      </c>
    </row>
    <row r="36" spans="1:9" x14ac:dyDescent="0.35">
      <c r="A36" t="s">
        <v>88</v>
      </c>
      <c r="B36" t="s">
        <v>89</v>
      </c>
      <c r="C36" t="s">
        <v>16</v>
      </c>
      <c r="D36" t="s">
        <v>12</v>
      </c>
      <c r="E36" t="s">
        <v>90</v>
      </c>
      <c r="F36">
        <v>8</v>
      </c>
      <c r="G36">
        <v>250.04</v>
      </c>
      <c r="H36">
        <v>2000.32</v>
      </c>
      <c r="I36">
        <v>4.4000000000000004</v>
      </c>
    </row>
    <row r="37" spans="1:9" x14ac:dyDescent="0.35">
      <c r="A37" t="s">
        <v>91</v>
      </c>
      <c r="B37" t="s">
        <v>43</v>
      </c>
      <c r="C37" t="s">
        <v>16</v>
      </c>
      <c r="D37" t="s">
        <v>19</v>
      </c>
      <c r="E37" t="s">
        <v>28</v>
      </c>
      <c r="F37">
        <v>15</v>
      </c>
      <c r="G37">
        <v>1014.34</v>
      </c>
      <c r="H37">
        <v>15215.1</v>
      </c>
      <c r="I37">
        <v>5</v>
      </c>
    </row>
    <row r="38" spans="1:9" x14ac:dyDescent="0.35">
      <c r="A38" t="s">
        <v>92</v>
      </c>
      <c r="B38" t="s">
        <v>93</v>
      </c>
      <c r="C38" t="s">
        <v>38</v>
      </c>
      <c r="D38" t="s">
        <v>12</v>
      </c>
      <c r="E38" t="s">
        <v>13</v>
      </c>
      <c r="F38">
        <v>16</v>
      </c>
      <c r="G38">
        <v>978.85</v>
      </c>
      <c r="H38">
        <v>15661.6</v>
      </c>
      <c r="I38">
        <v>4.7</v>
      </c>
    </row>
    <row r="39" spans="1:9" x14ac:dyDescent="0.35">
      <c r="A39" t="s">
        <v>94</v>
      </c>
      <c r="B39" t="s">
        <v>48</v>
      </c>
      <c r="C39" t="s">
        <v>23</v>
      </c>
      <c r="D39" t="s">
        <v>12</v>
      </c>
      <c r="E39" t="s">
        <v>13</v>
      </c>
      <c r="F39">
        <v>8</v>
      </c>
      <c r="G39">
        <v>812.72</v>
      </c>
      <c r="H39">
        <v>6501.76</v>
      </c>
      <c r="I39">
        <v>4.4000000000000004</v>
      </c>
    </row>
    <row r="40" spans="1:9" x14ac:dyDescent="0.35">
      <c r="A40" t="s">
        <v>95</v>
      </c>
      <c r="B40" t="s">
        <v>96</v>
      </c>
      <c r="C40" t="s">
        <v>38</v>
      </c>
      <c r="D40" t="s">
        <v>12</v>
      </c>
      <c r="E40" t="s">
        <v>17</v>
      </c>
      <c r="F40">
        <v>9</v>
      </c>
      <c r="G40">
        <v>158.94</v>
      </c>
      <c r="H40">
        <v>1430.46</v>
      </c>
      <c r="I40">
        <v>3.8</v>
      </c>
    </row>
    <row r="41" spans="1:9" x14ac:dyDescent="0.35">
      <c r="A41" t="s">
        <v>97</v>
      </c>
      <c r="B41" t="s">
        <v>62</v>
      </c>
      <c r="C41" t="s">
        <v>38</v>
      </c>
      <c r="D41" t="s">
        <v>19</v>
      </c>
      <c r="E41" t="s">
        <v>31</v>
      </c>
      <c r="F41">
        <v>19</v>
      </c>
      <c r="G41">
        <v>1121.45</v>
      </c>
      <c r="H41">
        <v>21307.55</v>
      </c>
      <c r="I41">
        <v>4.2</v>
      </c>
    </row>
    <row r="42" spans="1:9" x14ac:dyDescent="0.35">
      <c r="A42" t="s">
        <v>98</v>
      </c>
      <c r="B42" t="s">
        <v>99</v>
      </c>
      <c r="C42" t="s">
        <v>11</v>
      </c>
      <c r="D42" t="s">
        <v>12</v>
      </c>
      <c r="E42" t="s">
        <v>13</v>
      </c>
      <c r="F42">
        <v>25</v>
      </c>
      <c r="G42">
        <v>813.37</v>
      </c>
      <c r="H42">
        <v>20334.25</v>
      </c>
      <c r="I42">
        <v>4</v>
      </c>
    </row>
    <row r="43" spans="1:9" x14ac:dyDescent="0.35">
      <c r="A43" t="s">
        <v>100</v>
      </c>
      <c r="B43" t="s">
        <v>101</v>
      </c>
      <c r="C43" t="s">
        <v>23</v>
      </c>
      <c r="D43" t="s">
        <v>12</v>
      </c>
      <c r="E43" t="s">
        <v>90</v>
      </c>
      <c r="F43">
        <v>24</v>
      </c>
      <c r="G43">
        <v>783.73</v>
      </c>
      <c r="H43">
        <v>18809.52</v>
      </c>
      <c r="I43">
        <v>4.7</v>
      </c>
    </row>
    <row r="44" spans="1:9" x14ac:dyDescent="0.35">
      <c r="A44" t="s">
        <v>102</v>
      </c>
      <c r="B44" t="s">
        <v>103</v>
      </c>
      <c r="C44" t="s">
        <v>11</v>
      </c>
      <c r="D44" t="s">
        <v>12</v>
      </c>
      <c r="E44" t="s">
        <v>17</v>
      </c>
      <c r="F44">
        <v>25</v>
      </c>
      <c r="G44">
        <v>243.62</v>
      </c>
      <c r="H44">
        <v>6090.5</v>
      </c>
      <c r="I44">
        <v>3.9</v>
      </c>
    </row>
    <row r="45" spans="1:9" x14ac:dyDescent="0.35">
      <c r="A45" t="s">
        <v>104</v>
      </c>
      <c r="B45" t="s">
        <v>105</v>
      </c>
      <c r="C45" t="s">
        <v>11</v>
      </c>
      <c r="D45" t="s">
        <v>24</v>
      </c>
      <c r="E45" t="s">
        <v>44</v>
      </c>
      <c r="F45">
        <v>5</v>
      </c>
      <c r="G45">
        <v>1333.61</v>
      </c>
      <c r="H45">
        <v>6668.05</v>
      </c>
      <c r="I45">
        <v>4.7</v>
      </c>
    </row>
    <row r="46" spans="1:9" x14ac:dyDescent="0.35">
      <c r="A46" t="s">
        <v>106</v>
      </c>
      <c r="B46" t="s">
        <v>107</v>
      </c>
      <c r="C46" t="s">
        <v>23</v>
      </c>
      <c r="D46" t="s">
        <v>24</v>
      </c>
      <c r="E46" t="s">
        <v>44</v>
      </c>
      <c r="F46">
        <v>2</v>
      </c>
      <c r="G46">
        <v>1290.21</v>
      </c>
      <c r="H46">
        <v>2580.42</v>
      </c>
      <c r="I46">
        <v>4.3</v>
      </c>
    </row>
    <row r="47" spans="1:9" x14ac:dyDescent="0.35">
      <c r="A47" t="s">
        <v>108</v>
      </c>
      <c r="B47" t="s">
        <v>109</v>
      </c>
      <c r="C47" t="s">
        <v>11</v>
      </c>
      <c r="D47" t="s">
        <v>19</v>
      </c>
      <c r="E47" t="s">
        <v>31</v>
      </c>
      <c r="F47">
        <v>10</v>
      </c>
      <c r="G47">
        <v>299.87</v>
      </c>
      <c r="H47">
        <v>2998.7</v>
      </c>
      <c r="I47">
        <v>4.8</v>
      </c>
    </row>
    <row r="48" spans="1:9" x14ac:dyDescent="0.35">
      <c r="A48" t="s">
        <v>110</v>
      </c>
      <c r="B48" t="s">
        <v>107</v>
      </c>
      <c r="C48" t="s">
        <v>11</v>
      </c>
      <c r="D48" t="s">
        <v>24</v>
      </c>
      <c r="E48" t="s">
        <v>69</v>
      </c>
      <c r="F48">
        <v>3</v>
      </c>
      <c r="G48">
        <v>468.8</v>
      </c>
      <c r="H48">
        <v>1406.4</v>
      </c>
      <c r="I48">
        <v>3.3</v>
      </c>
    </row>
    <row r="49" spans="1:9" x14ac:dyDescent="0.35">
      <c r="A49" t="s">
        <v>111</v>
      </c>
      <c r="B49" t="s">
        <v>112</v>
      </c>
      <c r="C49" t="s">
        <v>16</v>
      </c>
      <c r="D49" t="s">
        <v>24</v>
      </c>
      <c r="E49" t="s">
        <v>25</v>
      </c>
      <c r="F49">
        <v>6</v>
      </c>
      <c r="G49">
        <v>321.57</v>
      </c>
      <c r="H49">
        <v>1929.42</v>
      </c>
      <c r="I49">
        <v>3.8</v>
      </c>
    </row>
    <row r="50" spans="1:9" x14ac:dyDescent="0.35">
      <c r="A50" t="s">
        <v>113</v>
      </c>
      <c r="B50" t="s">
        <v>114</v>
      </c>
      <c r="C50" t="s">
        <v>38</v>
      </c>
      <c r="D50" t="s">
        <v>12</v>
      </c>
      <c r="E50" t="s">
        <v>13</v>
      </c>
      <c r="F50">
        <v>12</v>
      </c>
      <c r="G50">
        <v>121.76</v>
      </c>
      <c r="H50">
        <v>1461.12</v>
      </c>
      <c r="I50">
        <v>3.3</v>
      </c>
    </row>
    <row r="51" spans="1:9" x14ac:dyDescent="0.35">
      <c r="A51" t="s">
        <v>115</v>
      </c>
      <c r="B51" t="s">
        <v>116</v>
      </c>
      <c r="C51" t="s">
        <v>16</v>
      </c>
      <c r="D51" t="s">
        <v>12</v>
      </c>
      <c r="E51" t="s">
        <v>90</v>
      </c>
      <c r="F51">
        <v>14</v>
      </c>
      <c r="G51">
        <v>1269.8699999999999</v>
      </c>
      <c r="H51">
        <v>17778.18</v>
      </c>
      <c r="I51">
        <v>3.4</v>
      </c>
    </row>
    <row r="52" spans="1:9" x14ac:dyDescent="0.35">
      <c r="A52" t="s">
        <v>117</v>
      </c>
      <c r="B52" t="s">
        <v>118</v>
      </c>
      <c r="C52" t="s">
        <v>38</v>
      </c>
      <c r="D52" t="s">
        <v>24</v>
      </c>
      <c r="E52" t="s">
        <v>69</v>
      </c>
      <c r="F52">
        <v>18</v>
      </c>
      <c r="G52">
        <v>414.09</v>
      </c>
      <c r="H52">
        <v>7453.62</v>
      </c>
      <c r="I52">
        <v>4.7</v>
      </c>
    </row>
    <row r="53" spans="1:9" x14ac:dyDescent="0.35">
      <c r="A53" t="s">
        <v>119</v>
      </c>
      <c r="B53" t="s">
        <v>120</v>
      </c>
      <c r="C53" t="s">
        <v>11</v>
      </c>
      <c r="D53" t="s">
        <v>24</v>
      </c>
      <c r="E53" t="s">
        <v>44</v>
      </c>
      <c r="F53">
        <v>24</v>
      </c>
      <c r="G53">
        <v>697.51</v>
      </c>
      <c r="H53">
        <v>16740.240000000002</v>
      </c>
      <c r="I53">
        <v>3.6</v>
      </c>
    </row>
    <row r="54" spans="1:9" x14ac:dyDescent="0.35">
      <c r="A54" t="s">
        <v>121</v>
      </c>
      <c r="B54" t="s">
        <v>122</v>
      </c>
      <c r="C54" t="s">
        <v>11</v>
      </c>
      <c r="D54" t="s">
        <v>24</v>
      </c>
      <c r="E54" t="s">
        <v>25</v>
      </c>
      <c r="F54">
        <v>15</v>
      </c>
      <c r="G54">
        <v>1334.32</v>
      </c>
      <c r="H54">
        <v>20014.8</v>
      </c>
      <c r="I54">
        <v>3.8</v>
      </c>
    </row>
    <row r="55" spans="1:9" x14ac:dyDescent="0.35">
      <c r="A55" t="s">
        <v>123</v>
      </c>
      <c r="B55" t="s">
        <v>124</v>
      </c>
      <c r="C55" t="s">
        <v>38</v>
      </c>
      <c r="D55" t="s">
        <v>19</v>
      </c>
      <c r="E55" t="s">
        <v>28</v>
      </c>
      <c r="F55">
        <v>17</v>
      </c>
      <c r="G55">
        <v>1442.07</v>
      </c>
      <c r="H55">
        <v>24515.19</v>
      </c>
      <c r="I55">
        <v>4.5</v>
      </c>
    </row>
    <row r="56" spans="1:9" x14ac:dyDescent="0.35">
      <c r="A56" t="s">
        <v>125</v>
      </c>
      <c r="B56" t="s">
        <v>126</v>
      </c>
      <c r="C56" t="s">
        <v>23</v>
      </c>
      <c r="D56" t="s">
        <v>24</v>
      </c>
      <c r="E56" t="s">
        <v>44</v>
      </c>
      <c r="F56">
        <v>23</v>
      </c>
      <c r="G56">
        <v>504.85</v>
      </c>
      <c r="H56">
        <v>11611.55</v>
      </c>
      <c r="I56">
        <v>4.5999999999999996</v>
      </c>
    </row>
    <row r="57" spans="1:9" x14ac:dyDescent="0.35">
      <c r="A57" t="s">
        <v>127</v>
      </c>
      <c r="B57" t="s">
        <v>128</v>
      </c>
      <c r="C57" t="s">
        <v>16</v>
      </c>
      <c r="D57" t="s">
        <v>24</v>
      </c>
      <c r="E57" t="s">
        <v>69</v>
      </c>
      <c r="F57">
        <v>21</v>
      </c>
      <c r="G57">
        <v>318.12</v>
      </c>
      <c r="H57">
        <v>6680.52</v>
      </c>
      <c r="I57">
        <v>3.5</v>
      </c>
    </row>
    <row r="58" spans="1:9" x14ac:dyDescent="0.35">
      <c r="A58" t="s">
        <v>129</v>
      </c>
      <c r="B58" t="s">
        <v>130</v>
      </c>
      <c r="C58" t="s">
        <v>11</v>
      </c>
      <c r="D58" t="s">
        <v>24</v>
      </c>
      <c r="E58" t="s">
        <v>44</v>
      </c>
      <c r="F58">
        <v>2</v>
      </c>
      <c r="G58">
        <v>454.24</v>
      </c>
      <c r="H58">
        <v>908.48</v>
      </c>
      <c r="I58">
        <v>4.0999999999999996</v>
      </c>
    </row>
    <row r="59" spans="1:9" x14ac:dyDescent="0.35">
      <c r="A59" t="s">
        <v>131</v>
      </c>
      <c r="B59" t="s">
        <v>132</v>
      </c>
      <c r="C59" t="s">
        <v>23</v>
      </c>
      <c r="D59" t="s">
        <v>12</v>
      </c>
      <c r="E59" t="s">
        <v>90</v>
      </c>
      <c r="F59">
        <v>13</v>
      </c>
      <c r="G59">
        <v>1487.02</v>
      </c>
      <c r="H59">
        <v>19331.259999999998</v>
      </c>
      <c r="I59">
        <v>4.3</v>
      </c>
    </row>
    <row r="60" spans="1:9" x14ac:dyDescent="0.35">
      <c r="A60" t="s">
        <v>133</v>
      </c>
      <c r="B60" t="s">
        <v>134</v>
      </c>
      <c r="C60" t="s">
        <v>16</v>
      </c>
      <c r="D60" t="s">
        <v>19</v>
      </c>
      <c r="E60" t="s">
        <v>28</v>
      </c>
      <c r="F60">
        <v>1</v>
      </c>
      <c r="G60">
        <v>1074.97</v>
      </c>
      <c r="H60">
        <v>1074.97</v>
      </c>
      <c r="I60">
        <v>4.9000000000000004</v>
      </c>
    </row>
    <row r="61" spans="1:9" x14ac:dyDescent="0.35">
      <c r="A61" t="s">
        <v>135</v>
      </c>
      <c r="B61" t="s">
        <v>136</v>
      </c>
      <c r="C61" t="s">
        <v>23</v>
      </c>
      <c r="D61" t="s">
        <v>24</v>
      </c>
      <c r="E61" t="s">
        <v>25</v>
      </c>
      <c r="F61">
        <v>13</v>
      </c>
      <c r="G61">
        <v>41.43</v>
      </c>
      <c r="H61">
        <v>538.59</v>
      </c>
      <c r="I61">
        <v>4</v>
      </c>
    </row>
    <row r="62" spans="1:9" x14ac:dyDescent="0.35">
      <c r="A62" t="s">
        <v>137</v>
      </c>
      <c r="B62" t="s">
        <v>138</v>
      </c>
      <c r="C62" t="s">
        <v>11</v>
      </c>
      <c r="D62" t="s">
        <v>19</v>
      </c>
      <c r="E62" t="s">
        <v>31</v>
      </c>
      <c r="F62">
        <v>10</v>
      </c>
      <c r="G62">
        <v>332.25</v>
      </c>
      <c r="H62">
        <v>3322.5</v>
      </c>
      <c r="I62">
        <v>3.5</v>
      </c>
    </row>
    <row r="63" spans="1:9" x14ac:dyDescent="0.35">
      <c r="A63" t="s">
        <v>139</v>
      </c>
      <c r="B63" t="s">
        <v>140</v>
      </c>
      <c r="C63" t="s">
        <v>38</v>
      </c>
      <c r="D63" t="s">
        <v>19</v>
      </c>
      <c r="E63" t="s">
        <v>20</v>
      </c>
      <c r="F63">
        <v>20</v>
      </c>
      <c r="G63">
        <v>1447.26</v>
      </c>
      <c r="H63">
        <v>28945.200000000001</v>
      </c>
      <c r="I63">
        <v>4.2</v>
      </c>
    </row>
    <row r="64" spans="1:9" x14ac:dyDescent="0.35">
      <c r="A64" t="s">
        <v>141</v>
      </c>
      <c r="B64" t="s">
        <v>142</v>
      </c>
      <c r="C64" t="s">
        <v>11</v>
      </c>
      <c r="D64" t="s">
        <v>12</v>
      </c>
      <c r="E64" t="s">
        <v>17</v>
      </c>
      <c r="F64">
        <v>18</v>
      </c>
      <c r="G64">
        <v>1373.71</v>
      </c>
      <c r="H64">
        <v>24726.78</v>
      </c>
      <c r="I64">
        <v>3.6</v>
      </c>
    </row>
    <row r="65" spans="1:9" x14ac:dyDescent="0.35">
      <c r="A65" t="s">
        <v>143</v>
      </c>
      <c r="B65" t="s">
        <v>142</v>
      </c>
      <c r="C65" t="s">
        <v>38</v>
      </c>
      <c r="D65" t="s">
        <v>19</v>
      </c>
      <c r="E65" t="s">
        <v>20</v>
      </c>
      <c r="F65">
        <v>8</v>
      </c>
      <c r="G65">
        <v>890.75</v>
      </c>
      <c r="H65">
        <v>7126</v>
      </c>
      <c r="I65">
        <v>4.4000000000000004</v>
      </c>
    </row>
    <row r="66" spans="1:9" x14ac:dyDescent="0.35">
      <c r="A66" t="s">
        <v>144</v>
      </c>
      <c r="B66" t="s">
        <v>145</v>
      </c>
      <c r="C66" t="s">
        <v>16</v>
      </c>
      <c r="D66" t="s">
        <v>19</v>
      </c>
      <c r="E66" t="s">
        <v>28</v>
      </c>
      <c r="F66">
        <v>1</v>
      </c>
      <c r="G66">
        <v>1419.72</v>
      </c>
      <c r="H66">
        <v>1419.72</v>
      </c>
      <c r="I66">
        <v>4.9000000000000004</v>
      </c>
    </row>
    <row r="67" spans="1:9" x14ac:dyDescent="0.35">
      <c r="A67" t="s">
        <v>146</v>
      </c>
      <c r="B67" t="s">
        <v>147</v>
      </c>
      <c r="C67" t="s">
        <v>11</v>
      </c>
      <c r="D67" t="s">
        <v>24</v>
      </c>
      <c r="E67" t="s">
        <v>69</v>
      </c>
      <c r="F67">
        <v>14</v>
      </c>
      <c r="G67">
        <v>1208.0899999999999</v>
      </c>
      <c r="H67">
        <v>16913.259999999998</v>
      </c>
      <c r="I67">
        <v>3.3</v>
      </c>
    </row>
    <row r="68" spans="1:9" x14ac:dyDescent="0.35">
      <c r="A68" t="s">
        <v>148</v>
      </c>
      <c r="B68" t="s">
        <v>149</v>
      </c>
      <c r="C68" t="s">
        <v>16</v>
      </c>
      <c r="D68" t="s">
        <v>19</v>
      </c>
      <c r="E68" t="s">
        <v>20</v>
      </c>
      <c r="F68">
        <v>5</v>
      </c>
      <c r="G68">
        <v>691.71</v>
      </c>
      <c r="H68">
        <v>3458.55</v>
      </c>
      <c r="I68">
        <v>3.4</v>
      </c>
    </row>
    <row r="69" spans="1:9" x14ac:dyDescent="0.35">
      <c r="A69" t="s">
        <v>150</v>
      </c>
      <c r="B69" t="s">
        <v>151</v>
      </c>
      <c r="C69" t="s">
        <v>16</v>
      </c>
      <c r="D69" t="s">
        <v>19</v>
      </c>
      <c r="E69" t="s">
        <v>31</v>
      </c>
      <c r="F69">
        <v>21</v>
      </c>
      <c r="G69">
        <v>1247.31</v>
      </c>
      <c r="H69">
        <v>26193.51</v>
      </c>
      <c r="I69">
        <v>4.5999999999999996</v>
      </c>
    </row>
    <row r="70" spans="1:9" x14ac:dyDescent="0.35">
      <c r="A70" t="s">
        <v>152</v>
      </c>
      <c r="B70" t="s">
        <v>153</v>
      </c>
      <c r="C70" t="s">
        <v>23</v>
      </c>
      <c r="D70" t="s">
        <v>19</v>
      </c>
      <c r="E70" t="s">
        <v>31</v>
      </c>
      <c r="F70">
        <v>15</v>
      </c>
      <c r="G70">
        <v>427</v>
      </c>
      <c r="H70">
        <v>6405</v>
      </c>
      <c r="I70">
        <v>4.3</v>
      </c>
    </row>
    <row r="71" spans="1:9" x14ac:dyDescent="0.35">
      <c r="A71" t="s">
        <v>154</v>
      </c>
      <c r="B71" t="s">
        <v>155</v>
      </c>
      <c r="C71" t="s">
        <v>23</v>
      </c>
      <c r="D71" t="s">
        <v>19</v>
      </c>
      <c r="E71" t="s">
        <v>31</v>
      </c>
      <c r="F71">
        <v>18</v>
      </c>
      <c r="G71">
        <v>959.82</v>
      </c>
      <c r="H71">
        <v>17276.759999999998</v>
      </c>
      <c r="I71">
        <v>4.3</v>
      </c>
    </row>
    <row r="72" spans="1:9" x14ac:dyDescent="0.35">
      <c r="A72" t="s">
        <v>156</v>
      </c>
      <c r="B72" t="s">
        <v>157</v>
      </c>
      <c r="C72" t="s">
        <v>11</v>
      </c>
      <c r="D72" t="s">
        <v>19</v>
      </c>
      <c r="E72" t="s">
        <v>31</v>
      </c>
      <c r="F72">
        <v>9</v>
      </c>
      <c r="G72">
        <v>365.18</v>
      </c>
      <c r="H72">
        <v>3286.62</v>
      </c>
      <c r="I72">
        <v>4.5</v>
      </c>
    </row>
    <row r="73" spans="1:9" x14ac:dyDescent="0.35">
      <c r="A73" t="s">
        <v>158</v>
      </c>
      <c r="B73" t="s">
        <v>159</v>
      </c>
      <c r="C73" t="s">
        <v>16</v>
      </c>
      <c r="D73" t="s">
        <v>12</v>
      </c>
      <c r="E73" t="s">
        <v>13</v>
      </c>
      <c r="F73">
        <v>5</v>
      </c>
      <c r="G73">
        <v>1178.3499999999999</v>
      </c>
      <c r="H73">
        <v>5891.75</v>
      </c>
      <c r="I73">
        <v>3.4</v>
      </c>
    </row>
    <row r="74" spans="1:9" x14ac:dyDescent="0.35">
      <c r="A74" t="s">
        <v>160</v>
      </c>
      <c r="B74" t="s">
        <v>161</v>
      </c>
      <c r="C74" t="s">
        <v>16</v>
      </c>
      <c r="D74" t="s">
        <v>12</v>
      </c>
      <c r="E74" t="s">
        <v>13</v>
      </c>
      <c r="F74">
        <v>17</v>
      </c>
      <c r="G74">
        <v>110.64</v>
      </c>
      <c r="H74">
        <v>1880.88</v>
      </c>
      <c r="I74">
        <v>4.4000000000000004</v>
      </c>
    </row>
    <row r="75" spans="1:9" x14ac:dyDescent="0.35">
      <c r="A75" t="s">
        <v>162</v>
      </c>
      <c r="B75" t="s">
        <v>22</v>
      </c>
      <c r="C75" t="s">
        <v>38</v>
      </c>
      <c r="D75" t="s">
        <v>19</v>
      </c>
      <c r="E75" t="s">
        <v>28</v>
      </c>
      <c r="F75">
        <v>10</v>
      </c>
      <c r="G75">
        <v>705.93</v>
      </c>
      <c r="H75">
        <v>7059.3</v>
      </c>
      <c r="I75">
        <v>3.1</v>
      </c>
    </row>
    <row r="76" spans="1:9" x14ac:dyDescent="0.35">
      <c r="A76" t="s">
        <v>163</v>
      </c>
      <c r="B76" t="s">
        <v>126</v>
      </c>
      <c r="C76" t="s">
        <v>16</v>
      </c>
      <c r="D76" t="s">
        <v>12</v>
      </c>
      <c r="E76" t="s">
        <v>17</v>
      </c>
      <c r="F76">
        <v>23</v>
      </c>
      <c r="G76">
        <v>1230.92</v>
      </c>
      <c r="H76">
        <v>28311.16</v>
      </c>
      <c r="I76">
        <v>4</v>
      </c>
    </row>
    <row r="77" spans="1:9" x14ac:dyDescent="0.35">
      <c r="A77" t="s">
        <v>164</v>
      </c>
      <c r="B77" t="s">
        <v>165</v>
      </c>
      <c r="C77" t="s">
        <v>38</v>
      </c>
      <c r="D77" t="s">
        <v>19</v>
      </c>
      <c r="E77" t="s">
        <v>28</v>
      </c>
      <c r="F77">
        <v>12</v>
      </c>
      <c r="G77">
        <v>1334.94</v>
      </c>
      <c r="H77">
        <v>16019.28</v>
      </c>
      <c r="I77">
        <v>4.8</v>
      </c>
    </row>
    <row r="78" spans="1:9" x14ac:dyDescent="0.35">
      <c r="A78" t="s">
        <v>166</v>
      </c>
      <c r="B78" t="s">
        <v>167</v>
      </c>
      <c r="C78" t="s">
        <v>11</v>
      </c>
      <c r="D78" t="s">
        <v>19</v>
      </c>
      <c r="E78" t="s">
        <v>28</v>
      </c>
      <c r="F78">
        <v>21</v>
      </c>
      <c r="G78">
        <v>299.58999999999997</v>
      </c>
      <c r="H78">
        <v>6291.39</v>
      </c>
      <c r="I78">
        <v>3.2</v>
      </c>
    </row>
    <row r="79" spans="1:9" x14ac:dyDescent="0.35">
      <c r="A79" t="s">
        <v>168</v>
      </c>
      <c r="B79" t="s">
        <v>169</v>
      </c>
      <c r="C79" t="s">
        <v>38</v>
      </c>
      <c r="D79" t="s">
        <v>19</v>
      </c>
      <c r="E79" t="s">
        <v>20</v>
      </c>
      <c r="F79">
        <v>2</v>
      </c>
      <c r="G79">
        <v>250.93</v>
      </c>
      <c r="H79">
        <v>501.86</v>
      </c>
      <c r="I79">
        <v>3.9</v>
      </c>
    </row>
    <row r="80" spans="1:9" x14ac:dyDescent="0.35">
      <c r="A80" t="s">
        <v>170</v>
      </c>
      <c r="B80" t="s">
        <v>171</v>
      </c>
      <c r="C80" t="s">
        <v>11</v>
      </c>
      <c r="D80" t="s">
        <v>12</v>
      </c>
      <c r="E80" t="s">
        <v>13</v>
      </c>
      <c r="F80">
        <v>4</v>
      </c>
      <c r="G80">
        <v>203.08</v>
      </c>
      <c r="H80">
        <v>812.32</v>
      </c>
      <c r="I80">
        <v>3.6</v>
      </c>
    </row>
    <row r="81" spans="1:9" x14ac:dyDescent="0.35">
      <c r="A81" t="s">
        <v>172</v>
      </c>
      <c r="B81" t="s">
        <v>173</v>
      </c>
      <c r="C81" t="s">
        <v>16</v>
      </c>
      <c r="D81" t="s">
        <v>24</v>
      </c>
      <c r="E81" t="s">
        <v>25</v>
      </c>
      <c r="F81">
        <v>4</v>
      </c>
      <c r="G81">
        <v>805.54</v>
      </c>
      <c r="H81">
        <v>3222.16</v>
      </c>
      <c r="I81">
        <v>4.5</v>
      </c>
    </row>
    <row r="82" spans="1:9" x14ac:dyDescent="0.35">
      <c r="A82" t="s">
        <v>174</v>
      </c>
      <c r="B82" t="s">
        <v>175</v>
      </c>
      <c r="C82" t="s">
        <v>23</v>
      </c>
      <c r="D82" t="s">
        <v>19</v>
      </c>
      <c r="E82" t="s">
        <v>20</v>
      </c>
      <c r="F82">
        <v>24</v>
      </c>
      <c r="G82">
        <v>482.13</v>
      </c>
      <c r="H82">
        <v>11571.12</v>
      </c>
      <c r="I82">
        <v>4.0999999999999996</v>
      </c>
    </row>
    <row r="83" spans="1:9" x14ac:dyDescent="0.35">
      <c r="A83" t="s">
        <v>176</v>
      </c>
      <c r="B83" t="s">
        <v>177</v>
      </c>
      <c r="C83" t="s">
        <v>23</v>
      </c>
      <c r="D83" t="s">
        <v>24</v>
      </c>
      <c r="E83" t="s">
        <v>69</v>
      </c>
      <c r="F83">
        <v>21</v>
      </c>
      <c r="G83">
        <v>388.08</v>
      </c>
      <c r="H83">
        <v>8149.68</v>
      </c>
      <c r="I83">
        <v>4.9000000000000004</v>
      </c>
    </row>
    <row r="84" spans="1:9" x14ac:dyDescent="0.35">
      <c r="A84" t="s">
        <v>178</v>
      </c>
      <c r="B84" t="s">
        <v>179</v>
      </c>
      <c r="C84" t="s">
        <v>38</v>
      </c>
      <c r="D84" t="s">
        <v>19</v>
      </c>
      <c r="E84" t="s">
        <v>20</v>
      </c>
      <c r="F84">
        <v>13</v>
      </c>
      <c r="G84">
        <v>28.16</v>
      </c>
      <c r="H84">
        <v>366.08</v>
      </c>
      <c r="I84">
        <v>3.8</v>
      </c>
    </row>
    <row r="85" spans="1:9" x14ac:dyDescent="0.35">
      <c r="A85" t="s">
        <v>180</v>
      </c>
      <c r="B85" t="s">
        <v>181</v>
      </c>
      <c r="C85" t="s">
        <v>38</v>
      </c>
      <c r="D85" t="s">
        <v>12</v>
      </c>
      <c r="E85" t="s">
        <v>90</v>
      </c>
      <c r="F85">
        <v>14</v>
      </c>
      <c r="G85">
        <v>207.04</v>
      </c>
      <c r="H85">
        <v>2898.56</v>
      </c>
      <c r="I85">
        <v>3.7</v>
      </c>
    </row>
    <row r="86" spans="1:9" x14ac:dyDescent="0.35">
      <c r="A86" t="s">
        <v>182</v>
      </c>
      <c r="B86" t="s">
        <v>179</v>
      </c>
      <c r="C86" t="s">
        <v>11</v>
      </c>
      <c r="D86" t="s">
        <v>12</v>
      </c>
      <c r="E86" t="s">
        <v>13</v>
      </c>
      <c r="F86">
        <v>11</v>
      </c>
      <c r="G86">
        <v>1420.87</v>
      </c>
      <c r="H86">
        <v>15629.57</v>
      </c>
      <c r="I86">
        <v>3.3</v>
      </c>
    </row>
    <row r="87" spans="1:9" x14ac:dyDescent="0.35">
      <c r="A87" t="s">
        <v>183</v>
      </c>
      <c r="B87" t="s">
        <v>184</v>
      </c>
      <c r="C87" t="s">
        <v>11</v>
      </c>
      <c r="D87" t="s">
        <v>12</v>
      </c>
      <c r="E87" t="s">
        <v>17</v>
      </c>
      <c r="F87">
        <v>14</v>
      </c>
      <c r="G87">
        <v>243.7</v>
      </c>
      <c r="H87">
        <v>3411.8</v>
      </c>
      <c r="I87">
        <v>3.1</v>
      </c>
    </row>
    <row r="88" spans="1:9" x14ac:dyDescent="0.35">
      <c r="A88" t="s">
        <v>185</v>
      </c>
      <c r="B88" t="s">
        <v>186</v>
      </c>
      <c r="C88" t="s">
        <v>23</v>
      </c>
      <c r="D88" t="s">
        <v>24</v>
      </c>
      <c r="E88" t="s">
        <v>25</v>
      </c>
      <c r="F88">
        <v>24</v>
      </c>
      <c r="G88">
        <v>592.42999999999995</v>
      </c>
      <c r="H88">
        <v>14218.32</v>
      </c>
      <c r="I88">
        <v>4.5999999999999996</v>
      </c>
    </row>
    <row r="89" spans="1:9" x14ac:dyDescent="0.35">
      <c r="A89" t="s">
        <v>187</v>
      </c>
      <c r="B89" t="s">
        <v>188</v>
      </c>
      <c r="C89" t="s">
        <v>38</v>
      </c>
      <c r="D89" t="s">
        <v>12</v>
      </c>
      <c r="E89" t="s">
        <v>90</v>
      </c>
      <c r="F89">
        <v>10</v>
      </c>
      <c r="G89">
        <v>747.04</v>
      </c>
      <c r="H89">
        <v>7470.4</v>
      </c>
      <c r="I89">
        <v>4.3</v>
      </c>
    </row>
    <row r="90" spans="1:9" x14ac:dyDescent="0.35">
      <c r="A90" t="s">
        <v>189</v>
      </c>
      <c r="B90" t="s">
        <v>190</v>
      </c>
      <c r="C90" t="s">
        <v>11</v>
      </c>
      <c r="D90" t="s">
        <v>24</v>
      </c>
      <c r="E90" t="s">
        <v>69</v>
      </c>
      <c r="F90">
        <v>13</v>
      </c>
      <c r="G90">
        <v>457.46</v>
      </c>
      <c r="H90">
        <v>5946.98</v>
      </c>
      <c r="I90">
        <v>4.7</v>
      </c>
    </row>
    <row r="91" spans="1:9" x14ac:dyDescent="0.35">
      <c r="A91" t="s">
        <v>191</v>
      </c>
      <c r="B91" t="s">
        <v>192</v>
      </c>
      <c r="C91" t="s">
        <v>16</v>
      </c>
      <c r="D91" t="s">
        <v>24</v>
      </c>
      <c r="E91" t="s">
        <v>44</v>
      </c>
      <c r="F91">
        <v>5</v>
      </c>
      <c r="G91">
        <v>1234.33</v>
      </c>
      <c r="H91">
        <v>6171.65</v>
      </c>
      <c r="I91">
        <v>4.3</v>
      </c>
    </row>
    <row r="92" spans="1:9" x14ac:dyDescent="0.35">
      <c r="A92" t="s">
        <v>193</v>
      </c>
      <c r="B92" t="s">
        <v>87</v>
      </c>
      <c r="C92" t="s">
        <v>11</v>
      </c>
      <c r="D92" t="s">
        <v>24</v>
      </c>
      <c r="E92" t="s">
        <v>25</v>
      </c>
      <c r="F92">
        <v>8</v>
      </c>
      <c r="G92">
        <v>920.5</v>
      </c>
      <c r="H92">
        <v>7364</v>
      </c>
      <c r="I92">
        <v>4.9000000000000004</v>
      </c>
    </row>
    <row r="93" spans="1:9" x14ac:dyDescent="0.35">
      <c r="A93" t="s">
        <v>194</v>
      </c>
      <c r="B93" t="s">
        <v>130</v>
      </c>
      <c r="C93" t="s">
        <v>11</v>
      </c>
      <c r="D93" t="s">
        <v>24</v>
      </c>
      <c r="E93" t="s">
        <v>25</v>
      </c>
      <c r="F93">
        <v>16</v>
      </c>
      <c r="G93">
        <v>36.57</v>
      </c>
      <c r="H93">
        <v>585.12</v>
      </c>
      <c r="I93">
        <v>4.0999999999999996</v>
      </c>
    </row>
    <row r="94" spans="1:9" x14ac:dyDescent="0.35">
      <c r="A94" t="s">
        <v>195</v>
      </c>
      <c r="B94" t="s">
        <v>196</v>
      </c>
      <c r="C94" t="s">
        <v>11</v>
      </c>
      <c r="D94" t="s">
        <v>19</v>
      </c>
      <c r="E94" t="s">
        <v>20</v>
      </c>
      <c r="F94">
        <v>10</v>
      </c>
      <c r="G94">
        <v>41.41</v>
      </c>
      <c r="H94">
        <v>414.1</v>
      </c>
      <c r="I94">
        <v>4.0999999999999996</v>
      </c>
    </row>
    <row r="95" spans="1:9" x14ac:dyDescent="0.35">
      <c r="A95" t="s">
        <v>197</v>
      </c>
      <c r="B95" t="s">
        <v>198</v>
      </c>
      <c r="C95" t="s">
        <v>11</v>
      </c>
      <c r="D95" t="s">
        <v>24</v>
      </c>
      <c r="E95" t="s">
        <v>25</v>
      </c>
      <c r="F95">
        <v>4</v>
      </c>
      <c r="G95">
        <v>1411.16</v>
      </c>
      <c r="H95">
        <v>5644.64</v>
      </c>
      <c r="I95">
        <v>4.5</v>
      </c>
    </row>
    <row r="96" spans="1:9" x14ac:dyDescent="0.35">
      <c r="A96" t="s">
        <v>199</v>
      </c>
      <c r="B96" t="s">
        <v>71</v>
      </c>
      <c r="C96" t="s">
        <v>16</v>
      </c>
      <c r="D96" t="s">
        <v>19</v>
      </c>
      <c r="E96" t="s">
        <v>20</v>
      </c>
      <c r="F96">
        <v>23</v>
      </c>
      <c r="G96">
        <v>1287.17</v>
      </c>
      <c r="H96">
        <v>29604.91</v>
      </c>
      <c r="I96">
        <v>4.5999999999999996</v>
      </c>
    </row>
    <row r="97" spans="1:9" x14ac:dyDescent="0.35">
      <c r="A97" t="s">
        <v>200</v>
      </c>
      <c r="B97" t="s">
        <v>201</v>
      </c>
      <c r="C97" t="s">
        <v>23</v>
      </c>
      <c r="D97" t="s">
        <v>24</v>
      </c>
      <c r="E97" t="s">
        <v>44</v>
      </c>
      <c r="F97">
        <v>4</v>
      </c>
      <c r="G97">
        <v>625.91999999999996</v>
      </c>
      <c r="H97">
        <v>2503.6799999999998</v>
      </c>
      <c r="I97">
        <v>3.2</v>
      </c>
    </row>
    <row r="98" spans="1:9" x14ac:dyDescent="0.35">
      <c r="A98" t="s">
        <v>202</v>
      </c>
      <c r="B98" t="s">
        <v>203</v>
      </c>
      <c r="C98" t="s">
        <v>38</v>
      </c>
      <c r="D98" t="s">
        <v>24</v>
      </c>
      <c r="E98" t="s">
        <v>44</v>
      </c>
      <c r="F98">
        <v>17</v>
      </c>
      <c r="G98">
        <v>879.12</v>
      </c>
      <c r="H98">
        <v>14945.04</v>
      </c>
      <c r="I98">
        <v>4.9000000000000004</v>
      </c>
    </row>
    <row r="99" spans="1:9" x14ac:dyDescent="0.35">
      <c r="A99" t="s">
        <v>204</v>
      </c>
      <c r="B99" t="s">
        <v>205</v>
      </c>
      <c r="C99" t="s">
        <v>38</v>
      </c>
      <c r="D99" t="s">
        <v>19</v>
      </c>
      <c r="E99" t="s">
        <v>20</v>
      </c>
      <c r="F99">
        <v>8</v>
      </c>
      <c r="G99">
        <v>1012.99</v>
      </c>
      <c r="H99">
        <v>8103.92</v>
      </c>
      <c r="I99">
        <v>4.3</v>
      </c>
    </row>
    <row r="100" spans="1:9" x14ac:dyDescent="0.35">
      <c r="A100" t="s">
        <v>206</v>
      </c>
      <c r="B100" t="s">
        <v>207</v>
      </c>
      <c r="C100" t="s">
        <v>16</v>
      </c>
      <c r="D100" t="s">
        <v>19</v>
      </c>
      <c r="E100" t="s">
        <v>31</v>
      </c>
      <c r="F100">
        <v>13</v>
      </c>
      <c r="G100">
        <v>569.08000000000004</v>
      </c>
      <c r="H100">
        <v>7398.04</v>
      </c>
      <c r="I100">
        <v>4.3</v>
      </c>
    </row>
    <row r="101" spans="1:9" x14ac:dyDescent="0.35">
      <c r="A101" t="s">
        <v>208</v>
      </c>
      <c r="B101" t="s">
        <v>43</v>
      </c>
      <c r="C101" t="s">
        <v>11</v>
      </c>
      <c r="D101" t="s">
        <v>12</v>
      </c>
      <c r="E101" t="s">
        <v>17</v>
      </c>
      <c r="F101">
        <v>18</v>
      </c>
      <c r="G101">
        <v>221.76</v>
      </c>
      <c r="H101">
        <v>3991.68</v>
      </c>
      <c r="I101">
        <v>3.6</v>
      </c>
    </row>
    <row r="102" spans="1:9" x14ac:dyDescent="0.35">
      <c r="A102" t="s">
        <v>209</v>
      </c>
      <c r="B102" t="s">
        <v>210</v>
      </c>
      <c r="C102" t="s">
        <v>23</v>
      </c>
      <c r="D102" t="s">
        <v>12</v>
      </c>
      <c r="E102" t="s">
        <v>13</v>
      </c>
      <c r="F102">
        <v>8</v>
      </c>
      <c r="G102">
        <v>1208.33</v>
      </c>
      <c r="H102">
        <v>9666.64</v>
      </c>
      <c r="I102">
        <v>3.6</v>
      </c>
    </row>
    <row r="103" spans="1:9" x14ac:dyDescent="0.35">
      <c r="A103" t="s">
        <v>211</v>
      </c>
      <c r="B103" t="s">
        <v>212</v>
      </c>
      <c r="C103" t="s">
        <v>38</v>
      </c>
      <c r="D103" t="s">
        <v>12</v>
      </c>
      <c r="E103" t="s">
        <v>17</v>
      </c>
      <c r="F103">
        <v>19</v>
      </c>
      <c r="G103">
        <v>13.17</v>
      </c>
      <c r="H103">
        <v>250.23</v>
      </c>
      <c r="I103">
        <v>3.4</v>
      </c>
    </row>
    <row r="104" spans="1:9" x14ac:dyDescent="0.35">
      <c r="A104" t="s">
        <v>213</v>
      </c>
      <c r="B104" t="s">
        <v>214</v>
      </c>
      <c r="C104" t="s">
        <v>16</v>
      </c>
      <c r="D104" t="s">
        <v>24</v>
      </c>
      <c r="E104" t="s">
        <v>44</v>
      </c>
      <c r="F104">
        <v>21</v>
      </c>
      <c r="G104">
        <v>1352.32</v>
      </c>
      <c r="H104">
        <v>28398.720000000001</v>
      </c>
      <c r="I104">
        <v>4.3</v>
      </c>
    </row>
    <row r="105" spans="1:9" x14ac:dyDescent="0.35">
      <c r="A105" t="s">
        <v>215</v>
      </c>
      <c r="B105" t="s">
        <v>216</v>
      </c>
      <c r="C105" t="s">
        <v>38</v>
      </c>
      <c r="D105" t="s">
        <v>24</v>
      </c>
      <c r="E105" t="s">
        <v>25</v>
      </c>
      <c r="F105">
        <v>13</v>
      </c>
      <c r="G105">
        <v>189.57</v>
      </c>
      <c r="H105">
        <v>2464.41</v>
      </c>
      <c r="I105">
        <v>3.9</v>
      </c>
    </row>
    <row r="106" spans="1:9" x14ac:dyDescent="0.35">
      <c r="A106" t="s">
        <v>217</v>
      </c>
      <c r="B106" t="s">
        <v>210</v>
      </c>
      <c r="C106" t="s">
        <v>38</v>
      </c>
      <c r="D106" t="s">
        <v>19</v>
      </c>
      <c r="E106" t="s">
        <v>31</v>
      </c>
      <c r="F106">
        <v>17</v>
      </c>
      <c r="G106">
        <v>475.97</v>
      </c>
      <c r="H106">
        <v>8091.49</v>
      </c>
      <c r="I106">
        <v>4.0999999999999996</v>
      </c>
    </row>
    <row r="107" spans="1:9" x14ac:dyDescent="0.35">
      <c r="A107" t="s">
        <v>218</v>
      </c>
      <c r="B107" t="s">
        <v>219</v>
      </c>
      <c r="C107" t="s">
        <v>16</v>
      </c>
      <c r="D107" t="s">
        <v>19</v>
      </c>
      <c r="E107" t="s">
        <v>20</v>
      </c>
      <c r="F107">
        <v>17</v>
      </c>
      <c r="G107">
        <v>1345.4</v>
      </c>
      <c r="H107">
        <v>22871.8</v>
      </c>
      <c r="I107">
        <v>3.4</v>
      </c>
    </row>
    <row r="108" spans="1:9" x14ac:dyDescent="0.35">
      <c r="A108" t="s">
        <v>220</v>
      </c>
      <c r="B108" t="s">
        <v>221</v>
      </c>
      <c r="C108" t="s">
        <v>38</v>
      </c>
      <c r="D108" t="s">
        <v>24</v>
      </c>
      <c r="E108" t="s">
        <v>44</v>
      </c>
      <c r="F108">
        <v>13</v>
      </c>
      <c r="G108">
        <v>1012.1</v>
      </c>
      <c r="H108">
        <v>13157.3</v>
      </c>
      <c r="I108">
        <v>3.2</v>
      </c>
    </row>
    <row r="109" spans="1:9" x14ac:dyDescent="0.35">
      <c r="A109" t="s">
        <v>222</v>
      </c>
      <c r="B109" t="s">
        <v>223</v>
      </c>
      <c r="C109" t="s">
        <v>11</v>
      </c>
      <c r="D109" t="s">
        <v>24</v>
      </c>
      <c r="E109" t="s">
        <v>44</v>
      </c>
      <c r="F109">
        <v>3</v>
      </c>
      <c r="G109">
        <v>210.58</v>
      </c>
      <c r="H109">
        <v>631.74</v>
      </c>
      <c r="I109">
        <v>3.3</v>
      </c>
    </row>
    <row r="110" spans="1:9" x14ac:dyDescent="0.35">
      <c r="A110" t="s">
        <v>224</v>
      </c>
      <c r="B110" t="s">
        <v>225</v>
      </c>
      <c r="C110" t="s">
        <v>38</v>
      </c>
      <c r="D110" t="s">
        <v>24</v>
      </c>
      <c r="E110" t="s">
        <v>25</v>
      </c>
      <c r="F110">
        <v>8</v>
      </c>
      <c r="G110">
        <v>1423.43</v>
      </c>
      <c r="H110">
        <v>11387.44</v>
      </c>
      <c r="I110">
        <v>4.3</v>
      </c>
    </row>
    <row r="111" spans="1:9" x14ac:dyDescent="0.35">
      <c r="A111" t="s">
        <v>226</v>
      </c>
      <c r="B111" t="s">
        <v>227</v>
      </c>
      <c r="C111" t="s">
        <v>23</v>
      </c>
      <c r="D111" t="s">
        <v>24</v>
      </c>
      <c r="E111" t="s">
        <v>69</v>
      </c>
      <c r="F111">
        <v>3</v>
      </c>
      <c r="G111">
        <v>1270.83</v>
      </c>
      <c r="H111">
        <v>3812.49</v>
      </c>
      <c r="I111">
        <v>4.3</v>
      </c>
    </row>
    <row r="112" spans="1:9" x14ac:dyDescent="0.35">
      <c r="A112" t="s">
        <v>228</v>
      </c>
      <c r="B112" t="s">
        <v>229</v>
      </c>
      <c r="C112" t="s">
        <v>11</v>
      </c>
      <c r="D112" t="s">
        <v>24</v>
      </c>
      <c r="E112" t="s">
        <v>44</v>
      </c>
      <c r="F112">
        <v>5</v>
      </c>
      <c r="G112">
        <v>38.47</v>
      </c>
      <c r="H112">
        <v>192.35</v>
      </c>
      <c r="I112">
        <v>3.8</v>
      </c>
    </row>
    <row r="113" spans="1:9" x14ac:dyDescent="0.35">
      <c r="A113" t="s">
        <v>230</v>
      </c>
      <c r="B113" t="s">
        <v>231</v>
      </c>
      <c r="C113" t="s">
        <v>38</v>
      </c>
      <c r="D113" t="s">
        <v>19</v>
      </c>
      <c r="E113" t="s">
        <v>28</v>
      </c>
      <c r="F113">
        <v>3</v>
      </c>
      <c r="G113">
        <v>692.26</v>
      </c>
      <c r="H113">
        <v>2076.7800000000002</v>
      </c>
      <c r="I113">
        <v>3.4</v>
      </c>
    </row>
    <row r="114" spans="1:9" x14ac:dyDescent="0.35">
      <c r="A114" t="s">
        <v>232</v>
      </c>
      <c r="B114" t="s">
        <v>233</v>
      </c>
      <c r="C114" t="s">
        <v>38</v>
      </c>
      <c r="D114" t="s">
        <v>24</v>
      </c>
      <c r="E114" t="s">
        <v>69</v>
      </c>
      <c r="F114">
        <v>22</v>
      </c>
      <c r="G114">
        <v>1037.3900000000001</v>
      </c>
      <c r="H114">
        <v>22822.58</v>
      </c>
      <c r="I114">
        <v>3.3</v>
      </c>
    </row>
    <row r="115" spans="1:9" x14ac:dyDescent="0.35">
      <c r="A115" t="s">
        <v>234</v>
      </c>
      <c r="B115" t="s">
        <v>235</v>
      </c>
      <c r="C115" t="s">
        <v>16</v>
      </c>
      <c r="D115" t="s">
        <v>19</v>
      </c>
      <c r="E115" t="s">
        <v>31</v>
      </c>
      <c r="F115">
        <v>15</v>
      </c>
      <c r="G115">
        <v>937.65</v>
      </c>
      <c r="H115">
        <v>14064.75</v>
      </c>
      <c r="I115">
        <v>3.9</v>
      </c>
    </row>
    <row r="116" spans="1:9" x14ac:dyDescent="0.35">
      <c r="A116" t="s">
        <v>236</v>
      </c>
      <c r="B116" t="s">
        <v>237</v>
      </c>
      <c r="C116" t="s">
        <v>16</v>
      </c>
      <c r="D116" t="s">
        <v>12</v>
      </c>
      <c r="E116" t="s">
        <v>17</v>
      </c>
      <c r="F116">
        <v>15</v>
      </c>
      <c r="G116">
        <v>1057.47</v>
      </c>
      <c r="H116">
        <v>15862.05</v>
      </c>
      <c r="I116">
        <v>3.2</v>
      </c>
    </row>
    <row r="117" spans="1:9" x14ac:dyDescent="0.35">
      <c r="A117" t="s">
        <v>238</v>
      </c>
      <c r="B117" t="s">
        <v>239</v>
      </c>
      <c r="C117" t="s">
        <v>38</v>
      </c>
      <c r="D117" t="s">
        <v>19</v>
      </c>
      <c r="E117" t="s">
        <v>28</v>
      </c>
      <c r="F117">
        <v>7</v>
      </c>
      <c r="G117">
        <v>1379.65</v>
      </c>
      <c r="H117">
        <v>9657.5499999999993</v>
      </c>
      <c r="I117">
        <v>4.5</v>
      </c>
    </row>
    <row r="118" spans="1:9" x14ac:dyDescent="0.35">
      <c r="A118" t="s">
        <v>240</v>
      </c>
      <c r="B118" t="s">
        <v>241</v>
      </c>
      <c r="C118" t="s">
        <v>16</v>
      </c>
      <c r="D118" t="s">
        <v>19</v>
      </c>
      <c r="E118" t="s">
        <v>28</v>
      </c>
      <c r="F118">
        <v>10</v>
      </c>
      <c r="G118">
        <v>481.13</v>
      </c>
      <c r="H118">
        <v>4811.3</v>
      </c>
      <c r="I118">
        <v>3.4</v>
      </c>
    </row>
    <row r="119" spans="1:9" x14ac:dyDescent="0.35">
      <c r="A119" t="s">
        <v>242</v>
      </c>
      <c r="B119" t="s">
        <v>145</v>
      </c>
      <c r="C119" t="s">
        <v>11</v>
      </c>
      <c r="D119" t="s">
        <v>24</v>
      </c>
      <c r="E119" t="s">
        <v>25</v>
      </c>
      <c r="F119">
        <v>9</v>
      </c>
      <c r="G119">
        <v>460.53</v>
      </c>
      <c r="H119">
        <v>4144.7700000000004</v>
      </c>
      <c r="I119">
        <v>4.4000000000000004</v>
      </c>
    </row>
    <row r="120" spans="1:9" x14ac:dyDescent="0.35">
      <c r="A120" t="s">
        <v>243</v>
      </c>
      <c r="B120" t="s">
        <v>244</v>
      </c>
      <c r="C120" t="s">
        <v>38</v>
      </c>
      <c r="D120" t="s">
        <v>12</v>
      </c>
      <c r="E120" t="s">
        <v>90</v>
      </c>
      <c r="F120">
        <v>22</v>
      </c>
      <c r="G120">
        <v>826.81</v>
      </c>
      <c r="H120">
        <v>18189.82</v>
      </c>
      <c r="I120">
        <v>3.1</v>
      </c>
    </row>
    <row r="121" spans="1:9" x14ac:dyDescent="0.35">
      <c r="A121" t="s">
        <v>245</v>
      </c>
      <c r="B121" t="s">
        <v>237</v>
      </c>
      <c r="C121" t="s">
        <v>38</v>
      </c>
      <c r="D121" t="s">
        <v>12</v>
      </c>
      <c r="E121" t="s">
        <v>17</v>
      </c>
      <c r="F121">
        <v>2</v>
      </c>
      <c r="G121">
        <v>1157.54</v>
      </c>
      <c r="H121">
        <v>2315.08</v>
      </c>
      <c r="I121">
        <v>4</v>
      </c>
    </row>
    <row r="122" spans="1:9" x14ac:dyDescent="0.35">
      <c r="A122" t="s">
        <v>246</v>
      </c>
      <c r="B122" t="s">
        <v>122</v>
      </c>
      <c r="C122" t="s">
        <v>23</v>
      </c>
      <c r="D122" t="s">
        <v>19</v>
      </c>
      <c r="E122" t="s">
        <v>28</v>
      </c>
      <c r="F122">
        <v>25</v>
      </c>
      <c r="G122">
        <v>1368.72</v>
      </c>
      <c r="H122">
        <v>34218</v>
      </c>
      <c r="I122">
        <v>4.8</v>
      </c>
    </row>
    <row r="123" spans="1:9" x14ac:dyDescent="0.35">
      <c r="A123" t="s">
        <v>247</v>
      </c>
      <c r="B123" t="s">
        <v>248</v>
      </c>
      <c r="C123" t="s">
        <v>11</v>
      </c>
      <c r="D123" t="s">
        <v>19</v>
      </c>
      <c r="E123" t="s">
        <v>31</v>
      </c>
      <c r="F123">
        <v>15</v>
      </c>
      <c r="G123">
        <v>1395.86</v>
      </c>
      <c r="H123">
        <v>20937.900000000001</v>
      </c>
      <c r="I123">
        <v>3.5</v>
      </c>
    </row>
    <row r="124" spans="1:9" x14ac:dyDescent="0.35">
      <c r="A124" t="s">
        <v>249</v>
      </c>
      <c r="B124" t="s">
        <v>248</v>
      </c>
      <c r="C124" t="s">
        <v>16</v>
      </c>
      <c r="D124" t="s">
        <v>24</v>
      </c>
      <c r="E124" t="s">
        <v>25</v>
      </c>
      <c r="F124">
        <v>13</v>
      </c>
      <c r="G124">
        <v>653.11</v>
      </c>
      <c r="H124">
        <v>8490.43</v>
      </c>
      <c r="I124">
        <v>3.6</v>
      </c>
    </row>
    <row r="125" spans="1:9" x14ac:dyDescent="0.35">
      <c r="A125" t="s">
        <v>250</v>
      </c>
      <c r="B125" t="s">
        <v>109</v>
      </c>
      <c r="C125" t="s">
        <v>23</v>
      </c>
      <c r="D125" t="s">
        <v>19</v>
      </c>
      <c r="E125" t="s">
        <v>20</v>
      </c>
      <c r="F125">
        <v>8</v>
      </c>
      <c r="G125">
        <v>1179.9100000000001</v>
      </c>
      <c r="H125">
        <v>9439.2800000000007</v>
      </c>
      <c r="I125">
        <v>4.5</v>
      </c>
    </row>
    <row r="126" spans="1:9" x14ac:dyDescent="0.35">
      <c r="A126" t="s">
        <v>251</v>
      </c>
      <c r="B126" t="s">
        <v>252</v>
      </c>
      <c r="C126" t="s">
        <v>16</v>
      </c>
      <c r="D126" t="s">
        <v>19</v>
      </c>
      <c r="E126" t="s">
        <v>31</v>
      </c>
      <c r="F126">
        <v>8</v>
      </c>
      <c r="G126">
        <v>1200.24</v>
      </c>
      <c r="H126">
        <v>9601.92</v>
      </c>
      <c r="I126">
        <v>5</v>
      </c>
    </row>
    <row r="127" spans="1:9" x14ac:dyDescent="0.35">
      <c r="A127" t="s">
        <v>253</v>
      </c>
      <c r="B127" t="s">
        <v>231</v>
      </c>
      <c r="C127" t="s">
        <v>23</v>
      </c>
      <c r="D127" t="s">
        <v>24</v>
      </c>
      <c r="E127" t="s">
        <v>25</v>
      </c>
      <c r="F127">
        <v>17</v>
      </c>
      <c r="G127">
        <v>1076.4100000000001</v>
      </c>
      <c r="H127">
        <v>18298.97</v>
      </c>
      <c r="I127">
        <v>3.1</v>
      </c>
    </row>
    <row r="128" spans="1:9" x14ac:dyDescent="0.35">
      <c r="A128" t="s">
        <v>254</v>
      </c>
      <c r="B128" t="s">
        <v>255</v>
      </c>
      <c r="C128" t="s">
        <v>16</v>
      </c>
      <c r="D128" t="s">
        <v>24</v>
      </c>
      <c r="E128" t="s">
        <v>44</v>
      </c>
      <c r="F128">
        <v>9</v>
      </c>
      <c r="G128">
        <v>719.34</v>
      </c>
      <c r="H128">
        <v>6474.06</v>
      </c>
      <c r="I128">
        <v>4.5999999999999996</v>
      </c>
    </row>
    <row r="129" spans="1:9" x14ac:dyDescent="0.35">
      <c r="A129" t="s">
        <v>256</v>
      </c>
      <c r="B129" t="s">
        <v>257</v>
      </c>
      <c r="C129" t="s">
        <v>23</v>
      </c>
      <c r="D129" t="s">
        <v>12</v>
      </c>
      <c r="E129" t="s">
        <v>13</v>
      </c>
      <c r="F129">
        <v>11</v>
      </c>
      <c r="G129">
        <v>50.29</v>
      </c>
      <c r="H129">
        <v>553.19000000000005</v>
      </c>
      <c r="I129">
        <v>4.0999999999999996</v>
      </c>
    </row>
    <row r="130" spans="1:9" x14ac:dyDescent="0.35">
      <c r="A130" t="s">
        <v>258</v>
      </c>
      <c r="B130" t="s">
        <v>259</v>
      </c>
      <c r="C130" t="s">
        <v>16</v>
      </c>
      <c r="D130" t="s">
        <v>12</v>
      </c>
      <c r="E130" t="s">
        <v>13</v>
      </c>
      <c r="F130">
        <v>1</v>
      </c>
      <c r="G130">
        <v>699.63</v>
      </c>
      <c r="H130">
        <v>699.63</v>
      </c>
      <c r="I130">
        <v>4.0999999999999996</v>
      </c>
    </row>
    <row r="131" spans="1:9" x14ac:dyDescent="0.35">
      <c r="A131" t="s">
        <v>260</v>
      </c>
      <c r="B131" t="s">
        <v>259</v>
      </c>
      <c r="C131" t="s">
        <v>16</v>
      </c>
      <c r="D131" t="s">
        <v>19</v>
      </c>
      <c r="E131" t="s">
        <v>20</v>
      </c>
      <c r="F131">
        <v>19</v>
      </c>
      <c r="G131">
        <v>468.11</v>
      </c>
      <c r="H131">
        <v>8894.09</v>
      </c>
      <c r="I131">
        <v>4</v>
      </c>
    </row>
    <row r="132" spans="1:9" x14ac:dyDescent="0.35">
      <c r="A132" t="s">
        <v>261</v>
      </c>
      <c r="B132" t="s">
        <v>262</v>
      </c>
      <c r="C132" t="s">
        <v>23</v>
      </c>
      <c r="D132" t="s">
        <v>24</v>
      </c>
      <c r="E132" t="s">
        <v>69</v>
      </c>
      <c r="F132">
        <v>14</v>
      </c>
      <c r="G132">
        <v>1021.94</v>
      </c>
      <c r="H132">
        <v>14307.16</v>
      </c>
      <c r="I132">
        <v>4.7</v>
      </c>
    </row>
    <row r="133" spans="1:9" x14ac:dyDescent="0.35">
      <c r="A133" t="s">
        <v>263</v>
      </c>
      <c r="B133" t="s">
        <v>264</v>
      </c>
      <c r="C133" t="s">
        <v>11</v>
      </c>
      <c r="D133" t="s">
        <v>24</v>
      </c>
      <c r="E133" t="s">
        <v>44</v>
      </c>
      <c r="F133">
        <v>25</v>
      </c>
      <c r="G133">
        <v>1383.88</v>
      </c>
      <c r="H133">
        <v>34597</v>
      </c>
      <c r="I133">
        <v>3.4</v>
      </c>
    </row>
    <row r="134" spans="1:9" x14ac:dyDescent="0.35">
      <c r="A134" t="s">
        <v>265</v>
      </c>
      <c r="B134" t="s">
        <v>266</v>
      </c>
      <c r="C134" t="s">
        <v>16</v>
      </c>
      <c r="D134" t="s">
        <v>12</v>
      </c>
      <c r="E134" t="s">
        <v>90</v>
      </c>
      <c r="F134">
        <v>24</v>
      </c>
      <c r="G134">
        <v>503.77</v>
      </c>
      <c r="H134">
        <v>12090.48</v>
      </c>
      <c r="I134">
        <v>4.2</v>
      </c>
    </row>
    <row r="135" spans="1:9" x14ac:dyDescent="0.35">
      <c r="A135" t="s">
        <v>267</v>
      </c>
      <c r="B135" t="s">
        <v>147</v>
      </c>
      <c r="C135" t="s">
        <v>11</v>
      </c>
      <c r="D135" t="s">
        <v>24</v>
      </c>
      <c r="E135" t="s">
        <v>25</v>
      </c>
      <c r="F135">
        <v>25</v>
      </c>
      <c r="G135">
        <v>1020.2</v>
      </c>
      <c r="H135">
        <v>25505</v>
      </c>
      <c r="I135">
        <v>3.3</v>
      </c>
    </row>
    <row r="136" spans="1:9" x14ac:dyDescent="0.35">
      <c r="A136" t="s">
        <v>268</v>
      </c>
      <c r="B136" t="s">
        <v>122</v>
      </c>
      <c r="C136" t="s">
        <v>38</v>
      </c>
      <c r="D136" t="s">
        <v>19</v>
      </c>
      <c r="E136" t="s">
        <v>31</v>
      </c>
      <c r="F136">
        <v>8</v>
      </c>
      <c r="G136">
        <v>1376.86</v>
      </c>
      <c r="H136">
        <v>11014.88</v>
      </c>
      <c r="I136">
        <v>3.9</v>
      </c>
    </row>
    <row r="137" spans="1:9" x14ac:dyDescent="0.35">
      <c r="A137" t="s">
        <v>269</v>
      </c>
      <c r="B137" t="s">
        <v>159</v>
      </c>
      <c r="C137" t="s">
        <v>23</v>
      </c>
      <c r="D137" t="s">
        <v>19</v>
      </c>
      <c r="E137" t="s">
        <v>28</v>
      </c>
      <c r="F137">
        <v>14</v>
      </c>
      <c r="G137">
        <v>1078.46</v>
      </c>
      <c r="H137">
        <v>15098.44</v>
      </c>
      <c r="I137">
        <v>3.4</v>
      </c>
    </row>
    <row r="138" spans="1:9" x14ac:dyDescent="0.35">
      <c r="A138" t="s">
        <v>270</v>
      </c>
      <c r="B138" t="s">
        <v>142</v>
      </c>
      <c r="C138" t="s">
        <v>11</v>
      </c>
      <c r="D138" t="s">
        <v>19</v>
      </c>
      <c r="E138" t="s">
        <v>31</v>
      </c>
      <c r="F138">
        <v>19</v>
      </c>
      <c r="G138">
        <v>698.67</v>
      </c>
      <c r="H138">
        <v>13274.73</v>
      </c>
      <c r="I138">
        <v>3.1</v>
      </c>
    </row>
    <row r="139" spans="1:9" x14ac:dyDescent="0.35">
      <c r="A139" t="s">
        <v>271</v>
      </c>
      <c r="B139" t="s">
        <v>272</v>
      </c>
      <c r="C139" t="s">
        <v>23</v>
      </c>
      <c r="D139" t="s">
        <v>24</v>
      </c>
      <c r="E139" t="s">
        <v>25</v>
      </c>
      <c r="F139">
        <v>19</v>
      </c>
      <c r="G139">
        <v>738.52</v>
      </c>
      <c r="H139">
        <v>14031.88</v>
      </c>
      <c r="I139">
        <v>3.7</v>
      </c>
    </row>
    <row r="140" spans="1:9" x14ac:dyDescent="0.35">
      <c r="A140" t="s">
        <v>273</v>
      </c>
      <c r="B140" t="s">
        <v>274</v>
      </c>
      <c r="C140" t="s">
        <v>23</v>
      </c>
      <c r="D140" t="s">
        <v>24</v>
      </c>
      <c r="E140" t="s">
        <v>25</v>
      </c>
      <c r="F140">
        <v>23</v>
      </c>
      <c r="G140">
        <v>114.38</v>
      </c>
      <c r="H140">
        <v>2630.74</v>
      </c>
      <c r="I140">
        <v>4.8</v>
      </c>
    </row>
    <row r="141" spans="1:9" x14ac:dyDescent="0.35">
      <c r="A141" t="s">
        <v>275</v>
      </c>
      <c r="B141" t="s">
        <v>264</v>
      </c>
      <c r="C141" t="s">
        <v>23</v>
      </c>
      <c r="D141" t="s">
        <v>12</v>
      </c>
      <c r="E141" t="s">
        <v>17</v>
      </c>
      <c r="F141">
        <v>4</v>
      </c>
      <c r="G141">
        <v>1085.96</v>
      </c>
      <c r="H141">
        <v>4343.84</v>
      </c>
      <c r="I141">
        <v>4.0999999999999996</v>
      </c>
    </row>
    <row r="142" spans="1:9" x14ac:dyDescent="0.35">
      <c r="A142" t="s">
        <v>276</v>
      </c>
      <c r="B142" t="s">
        <v>277</v>
      </c>
      <c r="C142" t="s">
        <v>38</v>
      </c>
      <c r="D142" t="s">
        <v>19</v>
      </c>
      <c r="E142" t="s">
        <v>28</v>
      </c>
      <c r="F142">
        <v>19</v>
      </c>
      <c r="G142">
        <v>909.91</v>
      </c>
      <c r="H142">
        <v>17288.29</v>
      </c>
      <c r="I142">
        <v>3.2</v>
      </c>
    </row>
    <row r="143" spans="1:9" x14ac:dyDescent="0.35">
      <c r="A143" t="s">
        <v>278</v>
      </c>
      <c r="B143" t="s">
        <v>279</v>
      </c>
      <c r="C143" t="s">
        <v>23</v>
      </c>
      <c r="D143" t="s">
        <v>12</v>
      </c>
      <c r="E143" t="s">
        <v>90</v>
      </c>
      <c r="F143">
        <v>22</v>
      </c>
      <c r="G143">
        <v>888.58</v>
      </c>
      <c r="H143">
        <v>19548.759999999998</v>
      </c>
      <c r="I143">
        <v>3.9</v>
      </c>
    </row>
    <row r="144" spans="1:9" x14ac:dyDescent="0.35">
      <c r="A144" t="s">
        <v>280</v>
      </c>
      <c r="B144" t="s">
        <v>281</v>
      </c>
      <c r="C144" t="s">
        <v>38</v>
      </c>
      <c r="D144" t="s">
        <v>12</v>
      </c>
      <c r="E144" t="s">
        <v>90</v>
      </c>
      <c r="F144">
        <v>11</v>
      </c>
      <c r="G144">
        <v>266.70999999999998</v>
      </c>
      <c r="H144">
        <v>2933.81</v>
      </c>
      <c r="I144">
        <v>3.5</v>
      </c>
    </row>
    <row r="145" spans="1:9" x14ac:dyDescent="0.35">
      <c r="A145" t="s">
        <v>282</v>
      </c>
      <c r="B145" t="s">
        <v>27</v>
      </c>
      <c r="C145" t="s">
        <v>11</v>
      </c>
      <c r="D145" t="s">
        <v>19</v>
      </c>
      <c r="E145" t="s">
        <v>31</v>
      </c>
      <c r="F145">
        <v>7</v>
      </c>
      <c r="G145">
        <v>1403.71</v>
      </c>
      <c r="H145">
        <v>9825.9699999999993</v>
      </c>
      <c r="I145">
        <v>4.8</v>
      </c>
    </row>
    <row r="146" spans="1:9" x14ac:dyDescent="0.35">
      <c r="A146" t="s">
        <v>283</v>
      </c>
      <c r="B146" t="s">
        <v>284</v>
      </c>
      <c r="C146" t="s">
        <v>38</v>
      </c>
      <c r="D146" t="s">
        <v>24</v>
      </c>
      <c r="E146" t="s">
        <v>44</v>
      </c>
      <c r="F146">
        <v>9</v>
      </c>
      <c r="G146">
        <v>289.07</v>
      </c>
      <c r="H146">
        <v>2601.63</v>
      </c>
      <c r="I146">
        <v>4.3</v>
      </c>
    </row>
    <row r="147" spans="1:9" x14ac:dyDescent="0.35">
      <c r="A147" t="s">
        <v>285</v>
      </c>
      <c r="B147" t="s">
        <v>286</v>
      </c>
      <c r="C147" t="s">
        <v>23</v>
      </c>
      <c r="D147" t="s">
        <v>24</v>
      </c>
      <c r="E147" t="s">
        <v>44</v>
      </c>
      <c r="F147">
        <v>5</v>
      </c>
      <c r="G147">
        <v>1050.53</v>
      </c>
      <c r="H147">
        <v>5252.65</v>
      </c>
      <c r="I147">
        <v>4.0999999999999996</v>
      </c>
    </row>
    <row r="148" spans="1:9" x14ac:dyDescent="0.35">
      <c r="A148" t="s">
        <v>287</v>
      </c>
      <c r="B148" t="s">
        <v>288</v>
      </c>
      <c r="C148" t="s">
        <v>11</v>
      </c>
      <c r="D148" t="s">
        <v>19</v>
      </c>
      <c r="E148" t="s">
        <v>31</v>
      </c>
      <c r="F148">
        <v>24</v>
      </c>
      <c r="G148">
        <v>1185.29</v>
      </c>
      <c r="H148">
        <v>28446.959999999999</v>
      </c>
      <c r="I148">
        <v>4</v>
      </c>
    </row>
    <row r="149" spans="1:9" x14ac:dyDescent="0.35">
      <c r="A149" t="s">
        <v>289</v>
      </c>
      <c r="B149" t="s">
        <v>66</v>
      </c>
      <c r="C149" t="s">
        <v>16</v>
      </c>
      <c r="D149" t="s">
        <v>24</v>
      </c>
      <c r="E149" t="s">
        <v>44</v>
      </c>
      <c r="F149">
        <v>15</v>
      </c>
      <c r="G149">
        <v>875.61</v>
      </c>
      <c r="H149">
        <v>13134.15</v>
      </c>
      <c r="I149">
        <v>4.9000000000000004</v>
      </c>
    </row>
    <row r="150" spans="1:9" x14ac:dyDescent="0.35">
      <c r="A150" t="s">
        <v>290</v>
      </c>
      <c r="B150" t="s">
        <v>291</v>
      </c>
      <c r="C150" t="s">
        <v>38</v>
      </c>
      <c r="D150" t="s">
        <v>19</v>
      </c>
      <c r="E150" t="s">
        <v>31</v>
      </c>
      <c r="F150">
        <v>14</v>
      </c>
      <c r="G150">
        <v>1399.68</v>
      </c>
      <c r="H150">
        <v>19595.52</v>
      </c>
      <c r="I150">
        <v>4.4000000000000004</v>
      </c>
    </row>
    <row r="151" spans="1:9" x14ac:dyDescent="0.35">
      <c r="A151" t="s">
        <v>292</v>
      </c>
      <c r="B151" t="s">
        <v>293</v>
      </c>
      <c r="C151" t="s">
        <v>11</v>
      </c>
      <c r="D151" t="s">
        <v>24</v>
      </c>
      <c r="E151" t="s">
        <v>25</v>
      </c>
      <c r="F151">
        <v>5</v>
      </c>
      <c r="G151">
        <v>34.200000000000003</v>
      </c>
      <c r="H151">
        <v>171</v>
      </c>
      <c r="I151">
        <v>4.0999999999999996</v>
      </c>
    </row>
    <row r="152" spans="1:9" x14ac:dyDescent="0.35">
      <c r="A152" t="s">
        <v>294</v>
      </c>
      <c r="B152" t="s">
        <v>295</v>
      </c>
      <c r="C152" t="s">
        <v>11</v>
      </c>
      <c r="D152" t="s">
        <v>19</v>
      </c>
      <c r="E152" t="s">
        <v>20</v>
      </c>
      <c r="F152">
        <v>21</v>
      </c>
      <c r="G152">
        <v>1134.06</v>
      </c>
      <c r="H152">
        <v>23815.26</v>
      </c>
      <c r="I152">
        <v>3</v>
      </c>
    </row>
    <row r="153" spans="1:9" x14ac:dyDescent="0.35">
      <c r="A153" t="s">
        <v>296</v>
      </c>
      <c r="B153" t="s">
        <v>297</v>
      </c>
      <c r="C153" t="s">
        <v>38</v>
      </c>
      <c r="D153" t="s">
        <v>19</v>
      </c>
      <c r="E153" t="s">
        <v>28</v>
      </c>
      <c r="F153">
        <v>23</v>
      </c>
      <c r="G153">
        <v>381.86</v>
      </c>
      <c r="H153">
        <v>8782.7800000000007</v>
      </c>
      <c r="I153">
        <v>4.2</v>
      </c>
    </row>
    <row r="154" spans="1:9" x14ac:dyDescent="0.35">
      <c r="A154" t="s">
        <v>298</v>
      </c>
      <c r="B154" t="s">
        <v>221</v>
      </c>
      <c r="C154" t="s">
        <v>38</v>
      </c>
      <c r="D154" t="s">
        <v>19</v>
      </c>
      <c r="E154" t="s">
        <v>28</v>
      </c>
      <c r="F154">
        <v>15</v>
      </c>
      <c r="G154">
        <v>40.880000000000003</v>
      </c>
      <c r="H154">
        <v>613.20000000000005</v>
      </c>
      <c r="I154">
        <v>3.7</v>
      </c>
    </row>
    <row r="155" spans="1:9" x14ac:dyDescent="0.35">
      <c r="A155" t="s">
        <v>299</v>
      </c>
      <c r="B155" t="s">
        <v>203</v>
      </c>
      <c r="C155" t="s">
        <v>11</v>
      </c>
      <c r="D155" t="s">
        <v>12</v>
      </c>
      <c r="E155" t="s">
        <v>17</v>
      </c>
      <c r="F155">
        <v>15</v>
      </c>
      <c r="G155">
        <v>1417.34</v>
      </c>
      <c r="H155">
        <v>21260.1</v>
      </c>
      <c r="I155">
        <v>3.4</v>
      </c>
    </row>
    <row r="156" spans="1:9" x14ac:dyDescent="0.35">
      <c r="A156" t="s">
        <v>300</v>
      </c>
      <c r="B156" t="s">
        <v>301</v>
      </c>
      <c r="C156" t="s">
        <v>38</v>
      </c>
      <c r="D156" t="s">
        <v>19</v>
      </c>
      <c r="E156" t="s">
        <v>28</v>
      </c>
      <c r="F156">
        <v>5</v>
      </c>
      <c r="G156">
        <v>1119.58</v>
      </c>
      <c r="H156">
        <v>5597.9</v>
      </c>
      <c r="I156">
        <v>4.7</v>
      </c>
    </row>
    <row r="157" spans="1:9" x14ac:dyDescent="0.35">
      <c r="A157" t="s">
        <v>302</v>
      </c>
      <c r="B157" t="s">
        <v>303</v>
      </c>
      <c r="C157" t="s">
        <v>11</v>
      </c>
      <c r="D157" t="s">
        <v>12</v>
      </c>
      <c r="E157" t="s">
        <v>90</v>
      </c>
      <c r="F157">
        <v>9</v>
      </c>
      <c r="G157">
        <v>906.33</v>
      </c>
      <c r="H157">
        <v>8156.97</v>
      </c>
      <c r="I157">
        <v>4</v>
      </c>
    </row>
    <row r="158" spans="1:9" x14ac:dyDescent="0.35">
      <c r="A158" t="s">
        <v>304</v>
      </c>
      <c r="B158" t="s">
        <v>305</v>
      </c>
      <c r="C158" t="s">
        <v>38</v>
      </c>
      <c r="D158" t="s">
        <v>24</v>
      </c>
      <c r="E158" t="s">
        <v>44</v>
      </c>
      <c r="F158">
        <v>11</v>
      </c>
      <c r="G158">
        <v>111.82</v>
      </c>
      <c r="H158">
        <v>1230.02</v>
      </c>
      <c r="I158">
        <v>3.2</v>
      </c>
    </row>
    <row r="159" spans="1:9" x14ac:dyDescent="0.35">
      <c r="A159" t="s">
        <v>306</v>
      </c>
      <c r="B159" t="s">
        <v>30</v>
      </c>
      <c r="C159" t="s">
        <v>38</v>
      </c>
      <c r="D159" t="s">
        <v>19</v>
      </c>
      <c r="E159" t="s">
        <v>20</v>
      </c>
      <c r="F159">
        <v>9</v>
      </c>
      <c r="G159">
        <v>263.04000000000002</v>
      </c>
      <c r="H159">
        <v>2367.36</v>
      </c>
      <c r="I159">
        <v>3</v>
      </c>
    </row>
    <row r="160" spans="1:9" x14ac:dyDescent="0.35">
      <c r="A160" t="s">
        <v>307</v>
      </c>
      <c r="B160" t="s">
        <v>308</v>
      </c>
      <c r="C160" t="s">
        <v>38</v>
      </c>
      <c r="D160" t="s">
        <v>12</v>
      </c>
      <c r="E160" t="s">
        <v>90</v>
      </c>
      <c r="F160">
        <v>19</v>
      </c>
      <c r="G160">
        <v>1293.71</v>
      </c>
      <c r="H160">
        <v>24580.49</v>
      </c>
      <c r="I160">
        <v>3.8</v>
      </c>
    </row>
    <row r="161" spans="1:9" x14ac:dyDescent="0.35">
      <c r="A161" t="s">
        <v>309</v>
      </c>
      <c r="B161" t="s">
        <v>310</v>
      </c>
      <c r="C161" t="s">
        <v>16</v>
      </c>
      <c r="D161" t="s">
        <v>19</v>
      </c>
      <c r="E161" t="s">
        <v>31</v>
      </c>
      <c r="F161">
        <v>22</v>
      </c>
      <c r="G161">
        <v>730.35</v>
      </c>
      <c r="H161">
        <v>16067.7</v>
      </c>
      <c r="I161">
        <v>4.9000000000000004</v>
      </c>
    </row>
    <row r="162" spans="1:9" x14ac:dyDescent="0.35">
      <c r="A162" t="s">
        <v>311</v>
      </c>
      <c r="B162" t="s">
        <v>312</v>
      </c>
      <c r="C162" t="s">
        <v>16</v>
      </c>
      <c r="D162" t="s">
        <v>19</v>
      </c>
      <c r="E162" t="s">
        <v>28</v>
      </c>
      <c r="F162">
        <v>3</v>
      </c>
      <c r="G162">
        <v>1253.42</v>
      </c>
      <c r="H162">
        <v>3760.26</v>
      </c>
      <c r="I162">
        <v>4.2</v>
      </c>
    </row>
    <row r="163" spans="1:9" x14ac:dyDescent="0.35">
      <c r="A163" t="s">
        <v>313</v>
      </c>
      <c r="B163" t="s">
        <v>27</v>
      </c>
      <c r="C163" t="s">
        <v>16</v>
      </c>
      <c r="D163" t="s">
        <v>12</v>
      </c>
      <c r="E163" t="s">
        <v>90</v>
      </c>
      <c r="F163">
        <v>7</v>
      </c>
      <c r="G163">
        <v>174.82</v>
      </c>
      <c r="H163">
        <v>1223.74</v>
      </c>
      <c r="I163">
        <v>3.1</v>
      </c>
    </row>
    <row r="164" spans="1:9" x14ac:dyDescent="0.35">
      <c r="A164" t="s">
        <v>314</v>
      </c>
      <c r="B164" t="s">
        <v>315</v>
      </c>
      <c r="C164" t="s">
        <v>11</v>
      </c>
      <c r="D164" t="s">
        <v>12</v>
      </c>
      <c r="E164" t="s">
        <v>90</v>
      </c>
      <c r="F164">
        <v>12</v>
      </c>
      <c r="G164">
        <v>948.62</v>
      </c>
      <c r="H164">
        <v>11383.44</v>
      </c>
      <c r="I164">
        <v>4.7</v>
      </c>
    </row>
    <row r="165" spans="1:9" x14ac:dyDescent="0.35">
      <c r="A165" t="s">
        <v>316</v>
      </c>
      <c r="B165" t="s">
        <v>317</v>
      </c>
      <c r="C165" t="s">
        <v>38</v>
      </c>
      <c r="D165" t="s">
        <v>19</v>
      </c>
      <c r="E165" t="s">
        <v>28</v>
      </c>
      <c r="F165">
        <v>1</v>
      </c>
      <c r="G165">
        <v>239.39</v>
      </c>
      <c r="H165">
        <v>239.39</v>
      </c>
      <c r="I165">
        <v>4.3</v>
      </c>
    </row>
    <row r="166" spans="1:9" x14ac:dyDescent="0.35">
      <c r="A166" t="s">
        <v>318</v>
      </c>
      <c r="B166" t="s">
        <v>319</v>
      </c>
      <c r="C166" t="s">
        <v>16</v>
      </c>
      <c r="D166" t="s">
        <v>12</v>
      </c>
      <c r="E166" t="s">
        <v>13</v>
      </c>
      <c r="F166">
        <v>8</v>
      </c>
      <c r="G166">
        <v>681.86</v>
      </c>
      <c r="H166">
        <v>5454.88</v>
      </c>
      <c r="I166">
        <v>4.2</v>
      </c>
    </row>
    <row r="167" spans="1:9" x14ac:dyDescent="0.35">
      <c r="A167" t="s">
        <v>320</v>
      </c>
      <c r="B167" t="s">
        <v>321</v>
      </c>
      <c r="C167" t="s">
        <v>16</v>
      </c>
      <c r="D167" t="s">
        <v>24</v>
      </c>
      <c r="E167" t="s">
        <v>25</v>
      </c>
      <c r="F167">
        <v>15</v>
      </c>
      <c r="G167">
        <v>223.72</v>
      </c>
      <c r="H167">
        <v>3355.8</v>
      </c>
      <c r="I167">
        <v>4.7</v>
      </c>
    </row>
    <row r="168" spans="1:9" x14ac:dyDescent="0.35">
      <c r="A168" t="s">
        <v>322</v>
      </c>
      <c r="B168" t="s">
        <v>262</v>
      </c>
      <c r="C168" t="s">
        <v>16</v>
      </c>
      <c r="D168" t="s">
        <v>19</v>
      </c>
      <c r="E168" t="s">
        <v>20</v>
      </c>
      <c r="F168">
        <v>18</v>
      </c>
      <c r="G168">
        <v>583.03</v>
      </c>
      <c r="H168">
        <v>10494.54</v>
      </c>
      <c r="I168">
        <v>4.8</v>
      </c>
    </row>
    <row r="169" spans="1:9" x14ac:dyDescent="0.35">
      <c r="A169" t="s">
        <v>323</v>
      </c>
      <c r="B169" t="s">
        <v>324</v>
      </c>
      <c r="C169" t="s">
        <v>38</v>
      </c>
      <c r="D169" t="s">
        <v>12</v>
      </c>
      <c r="E169" t="s">
        <v>90</v>
      </c>
      <c r="F169">
        <v>8</v>
      </c>
      <c r="G169">
        <v>408.07</v>
      </c>
      <c r="H169">
        <v>3264.56</v>
      </c>
      <c r="I169">
        <v>4</v>
      </c>
    </row>
    <row r="170" spans="1:9" x14ac:dyDescent="0.35">
      <c r="A170" t="s">
        <v>325</v>
      </c>
      <c r="B170" t="s">
        <v>326</v>
      </c>
      <c r="C170" t="s">
        <v>38</v>
      </c>
      <c r="D170" t="s">
        <v>19</v>
      </c>
      <c r="E170" t="s">
        <v>31</v>
      </c>
      <c r="F170">
        <v>22</v>
      </c>
      <c r="G170">
        <v>268.38</v>
      </c>
      <c r="H170">
        <v>5904.36</v>
      </c>
      <c r="I170">
        <v>4.5</v>
      </c>
    </row>
    <row r="171" spans="1:9" x14ac:dyDescent="0.35">
      <c r="A171" t="s">
        <v>327</v>
      </c>
      <c r="B171" t="s">
        <v>101</v>
      </c>
      <c r="C171" t="s">
        <v>16</v>
      </c>
      <c r="D171" t="s">
        <v>12</v>
      </c>
      <c r="E171" t="s">
        <v>13</v>
      </c>
      <c r="F171">
        <v>9</v>
      </c>
      <c r="G171">
        <v>804.8</v>
      </c>
      <c r="H171">
        <v>7243.2</v>
      </c>
      <c r="I171">
        <v>4.7</v>
      </c>
    </row>
    <row r="172" spans="1:9" x14ac:dyDescent="0.35">
      <c r="A172" t="s">
        <v>328</v>
      </c>
      <c r="B172" t="s">
        <v>329</v>
      </c>
      <c r="C172" t="s">
        <v>38</v>
      </c>
      <c r="D172" t="s">
        <v>24</v>
      </c>
      <c r="E172" t="s">
        <v>69</v>
      </c>
      <c r="F172">
        <v>14</v>
      </c>
      <c r="G172">
        <v>621.03</v>
      </c>
      <c r="H172">
        <v>8694.42</v>
      </c>
      <c r="I172">
        <v>3.1</v>
      </c>
    </row>
    <row r="173" spans="1:9" x14ac:dyDescent="0.35">
      <c r="A173" t="s">
        <v>330</v>
      </c>
      <c r="B173" t="s">
        <v>331</v>
      </c>
      <c r="C173" t="s">
        <v>16</v>
      </c>
      <c r="D173" t="s">
        <v>19</v>
      </c>
      <c r="E173" t="s">
        <v>28</v>
      </c>
      <c r="F173">
        <v>4</v>
      </c>
      <c r="G173">
        <v>988.45</v>
      </c>
      <c r="H173">
        <v>3953.8</v>
      </c>
      <c r="I173">
        <v>4.8</v>
      </c>
    </row>
    <row r="174" spans="1:9" x14ac:dyDescent="0.35">
      <c r="A174" t="s">
        <v>332</v>
      </c>
      <c r="B174" t="s">
        <v>333</v>
      </c>
      <c r="C174" t="s">
        <v>16</v>
      </c>
      <c r="D174" t="s">
        <v>19</v>
      </c>
      <c r="E174" t="s">
        <v>31</v>
      </c>
      <c r="F174">
        <v>18</v>
      </c>
      <c r="G174">
        <v>926.64</v>
      </c>
      <c r="H174">
        <v>16679.52</v>
      </c>
      <c r="I174">
        <v>3.4</v>
      </c>
    </row>
    <row r="175" spans="1:9" x14ac:dyDescent="0.35">
      <c r="A175" t="s">
        <v>334</v>
      </c>
      <c r="B175" t="s">
        <v>321</v>
      </c>
      <c r="C175" t="s">
        <v>11</v>
      </c>
      <c r="D175" t="s">
        <v>19</v>
      </c>
      <c r="E175" t="s">
        <v>31</v>
      </c>
      <c r="F175">
        <v>10</v>
      </c>
      <c r="G175">
        <v>1314.9</v>
      </c>
      <c r="H175">
        <v>13149</v>
      </c>
      <c r="I175">
        <v>4.3</v>
      </c>
    </row>
    <row r="176" spans="1:9" x14ac:dyDescent="0.35">
      <c r="A176" t="s">
        <v>335</v>
      </c>
      <c r="B176" t="s">
        <v>286</v>
      </c>
      <c r="C176" t="s">
        <v>23</v>
      </c>
      <c r="D176" t="s">
        <v>24</v>
      </c>
      <c r="E176" t="s">
        <v>25</v>
      </c>
      <c r="F176">
        <v>8</v>
      </c>
      <c r="G176">
        <v>1058.8800000000001</v>
      </c>
      <c r="H176">
        <v>8471.0400000000009</v>
      </c>
      <c r="I176">
        <v>4.7</v>
      </c>
    </row>
    <row r="177" spans="1:9" x14ac:dyDescent="0.35">
      <c r="A177" t="s">
        <v>336</v>
      </c>
      <c r="B177" t="s">
        <v>101</v>
      </c>
      <c r="C177" t="s">
        <v>11</v>
      </c>
      <c r="D177" t="s">
        <v>24</v>
      </c>
      <c r="E177" t="s">
        <v>44</v>
      </c>
      <c r="F177">
        <v>24</v>
      </c>
      <c r="G177">
        <v>1227.6500000000001</v>
      </c>
      <c r="H177">
        <v>29463.599999999999</v>
      </c>
      <c r="I177">
        <v>4.5</v>
      </c>
    </row>
    <row r="178" spans="1:9" x14ac:dyDescent="0.35">
      <c r="A178" t="s">
        <v>337</v>
      </c>
      <c r="B178" t="s">
        <v>333</v>
      </c>
      <c r="C178" t="s">
        <v>11</v>
      </c>
      <c r="D178" t="s">
        <v>24</v>
      </c>
      <c r="E178" t="s">
        <v>44</v>
      </c>
      <c r="F178">
        <v>24</v>
      </c>
      <c r="G178">
        <v>675.95</v>
      </c>
      <c r="H178">
        <v>16222.8</v>
      </c>
      <c r="I178">
        <v>3.4</v>
      </c>
    </row>
    <row r="179" spans="1:9" x14ac:dyDescent="0.35">
      <c r="A179" t="s">
        <v>338</v>
      </c>
      <c r="B179" t="s">
        <v>78</v>
      </c>
      <c r="C179" t="s">
        <v>16</v>
      </c>
      <c r="D179" t="s">
        <v>24</v>
      </c>
      <c r="E179" t="s">
        <v>25</v>
      </c>
      <c r="F179">
        <v>25</v>
      </c>
      <c r="G179">
        <v>798.68</v>
      </c>
      <c r="H179">
        <v>19967</v>
      </c>
      <c r="I179">
        <v>3.3</v>
      </c>
    </row>
    <row r="180" spans="1:9" x14ac:dyDescent="0.35">
      <c r="A180" t="s">
        <v>339</v>
      </c>
      <c r="B180" t="s">
        <v>340</v>
      </c>
      <c r="C180" t="s">
        <v>38</v>
      </c>
      <c r="D180" t="s">
        <v>12</v>
      </c>
      <c r="E180" t="s">
        <v>13</v>
      </c>
      <c r="F180">
        <v>22</v>
      </c>
      <c r="G180">
        <v>596.41999999999996</v>
      </c>
      <c r="H180">
        <v>13121.24</v>
      </c>
      <c r="I180">
        <v>4.4000000000000004</v>
      </c>
    </row>
    <row r="181" spans="1:9" x14ac:dyDescent="0.35">
      <c r="A181" t="s">
        <v>341</v>
      </c>
      <c r="B181" t="s">
        <v>331</v>
      </c>
      <c r="C181" t="s">
        <v>23</v>
      </c>
      <c r="D181" t="s">
        <v>19</v>
      </c>
      <c r="E181" t="s">
        <v>28</v>
      </c>
      <c r="F181">
        <v>12</v>
      </c>
      <c r="G181">
        <v>291.45</v>
      </c>
      <c r="H181">
        <v>3497.4</v>
      </c>
      <c r="I181">
        <v>3.8</v>
      </c>
    </row>
    <row r="182" spans="1:9" x14ac:dyDescent="0.35">
      <c r="A182" t="s">
        <v>342</v>
      </c>
      <c r="B182" t="s">
        <v>301</v>
      </c>
      <c r="C182" t="s">
        <v>16</v>
      </c>
      <c r="D182" t="s">
        <v>12</v>
      </c>
      <c r="E182" t="s">
        <v>17</v>
      </c>
      <c r="F182">
        <v>6</v>
      </c>
      <c r="G182">
        <v>388.67</v>
      </c>
      <c r="H182">
        <v>2332.02</v>
      </c>
      <c r="I182">
        <v>3.1</v>
      </c>
    </row>
    <row r="183" spans="1:9" x14ac:dyDescent="0.35">
      <c r="A183" t="s">
        <v>343</v>
      </c>
      <c r="B183" t="s">
        <v>205</v>
      </c>
      <c r="C183" t="s">
        <v>38</v>
      </c>
      <c r="D183" t="s">
        <v>19</v>
      </c>
      <c r="E183" t="s">
        <v>20</v>
      </c>
      <c r="F183">
        <v>9</v>
      </c>
      <c r="G183">
        <v>1024.55</v>
      </c>
      <c r="H183">
        <v>9220.9500000000007</v>
      </c>
      <c r="I183">
        <v>3.9</v>
      </c>
    </row>
    <row r="184" spans="1:9" x14ac:dyDescent="0.35">
      <c r="A184" t="s">
        <v>344</v>
      </c>
      <c r="B184" t="s">
        <v>345</v>
      </c>
      <c r="C184" t="s">
        <v>16</v>
      </c>
      <c r="D184" t="s">
        <v>19</v>
      </c>
      <c r="E184" t="s">
        <v>31</v>
      </c>
      <c r="F184">
        <v>22</v>
      </c>
      <c r="G184">
        <v>487.93</v>
      </c>
      <c r="H184">
        <v>10734.46</v>
      </c>
      <c r="I184">
        <v>3.7</v>
      </c>
    </row>
    <row r="185" spans="1:9" x14ac:dyDescent="0.35">
      <c r="A185" t="s">
        <v>346</v>
      </c>
      <c r="B185" t="s">
        <v>347</v>
      </c>
      <c r="C185" t="s">
        <v>23</v>
      </c>
      <c r="D185" t="s">
        <v>12</v>
      </c>
      <c r="E185" t="s">
        <v>17</v>
      </c>
      <c r="F185">
        <v>19</v>
      </c>
      <c r="G185">
        <v>441.34</v>
      </c>
      <c r="H185">
        <v>8385.4599999999991</v>
      </c>
      <c r="I185">
        <v>3.3</v>
      </c>
    </row>
    <row r="186" spans="1:9" x14ac:dyDescent="0.35">
      <c r="A186" t="s">
        <v>348</v>
      </c>
      <c r="B186" t="s">
        <v>349</v>
      </c>
      <c r="C186" t="s">
        <v>23</v>
      </c>
      <c r="D186" t="s">
        <v>19</v>
      </c>
      <c r="E186" t="s">
        <v>20</v>
      </c>
      <c r="F186">
        <v>15</v>
      </c>
      <c r="G186">
        <v>1031.1500000000001</v>
      </c>
      <c r="H186">
        <v>15467.25</v>
      </c>
      <c r="I186">
        <v>3.2</v>
      </c>
    </row>
    <row r="187" spans="1:9" x14ac:dyDescent="0.35">
      <c r="A187" t="s">
        <v>350</v>
      </c>
      <c r="B187" t="s">
        <v>128</v>
      </c>
      <c r="C187" t="s">
        <v>38</v>
      </c>
      <c r="D187" t="s">
        <v>19</v>
      </c>
      <c r="E187" t="s">
        <v>31</v>
      </c>
      <c r="F187">
        <v>20</v>
      </c>
      <c r="G187">
        <v>1072.24</v>
      </c>
      <c r="H187">
        <v>21444.799999999999</v>
      </c>
      <c r="I187">
        <v>3.8</v>
      </c>
    </row>
    <row r="188" spans="1:9" x14ac:dyDescent="0.35">
      <c r="A188" t="s">
        <v>351</v>
      </c>
      <c r="B188" t="s">
        <v>68</v>
      </c>
      <c r="C188" t="s">
        <v>23</v>
      </c>
      <c r="D188" t="s">
        <v>12</v>
      </c>
      <c r="E188" t="s">
        <v>17</v>
      </c>
      <c r="F188">
        <v>12</v>
      </c>
      <c r="G188">
        <v>952.46</v>
      </c>
      <c r="H188">
        <v>11429.52</v>
      </c>
      <c r="I188">
        <v>4.4000000000000004</v>
      </c>
    </row>
    <row r="189" spans="1:9" x14ac:dyDescent="0.35">
      <c r="A189" t="s">
        <v>352</v>
      </c>
      <c r="B189" t="s">
        <v>353</v>
      </c>
      <c r="C189" t="s">
        <v>11</v>
      </c>
      <c r="D189" t="s">
        <v>24</v>
      </c>
      <c r="E189" t="s">
        <v>25</v>
      </c>
      <c r="F189">
        <v>15</v>
      </c>
      <c r="G189">
        <v>1423.23</v>
      </c>
      <c r="H189">
        <v>21348.45</v>
      </c>
      <c r="I189">
        <v>3.1</v>
      </c>
    </row>
    <row r="190" spans="1:9" x14ac:dyDescent="0.35">
      <c r="A190" t="s">
        <v>354</v>
      </c>
      <c r="B190" t="s">
        <v>107</v>
      </c>
      <c r="C190" t="s">
        <v>38</v>
      </c>
      <c r="D190" t="s">
        <v>12</v>
      </c>
      <c r="E190" t="s">
        <v>17</v>
      </c>
      <c r="F190">
        <v>22</v>
      </c>
      <c r="G190">
        <v>1127.8</v>
      </c>
      <c r="H190">
        <v>24811.599999999999</v>
      </c>
      <c r="I190">
        <v>3.5</v>
      </c>
    </row>
    <row r="191" spans="1:9" x14ac:dyDescent="0.35">
      <c r="A191" t="s">
        <v>355</v>
      </c>
      <c r="B191" t="s">
        <v>356</v>
      </c>
      <c r="C191" t="s">
        <v>16</v>
      </c>
      <c r="D191" t="s">
        <v>12</v>
      </c>
      <c r="E191" t="s">
        <v>17</v>
      </c>
      <c r="F191">
        <v>11</v>
      </c>
      <c r="G191">
        <v>269.2</v>
      </c>
      <c r="H191">
        <v>2961.2</v>
      </c>
      <c r="I191">
        <v>3.6</v>
      </c>
    </row>
    <row r="192" spans="1:9" x14ac:dyDescent="0.35">
      <c r="A192" t="s">
        <v>357</v>
      </c>
      <c r="B192" t="s">
        <v>248</v>
      </c>
      <c r="C192" t="s">
        <v>16</v>
      </c>
      <c r="D192" t="s">
        <v>19</v>
      </c>
      <c r="E192" t="s">
        <v>31</v>
      </c>
      <c r="F192">
        <v>21</v>
      </c>
      <c r="G192">
        <v>791.9</v>
      </c>
      <c r="H192">
        <v>16629.900000000001</v>
      </c>
      <c r="I192">
        <v>3.2</v>
      </c>
    </row>
    <row r="193" spans="1:9" x14ac:dyDescent="0.35">
      <c r="A193" t="s">
        <v>358</v>
      </c>
      <c r="B193" t="s">
        <v>116</v>
      </c>
      <c r="C193" t="s">
        <v>38</v>
      </c>
      <c r="D193" t="s">
        <v>12</v>
      </c>
      <c r="E193" t="s">
        <v>13</v>
      </c>
      <c r="F193">
        <v>17</v>
      </c>
      <c r="G193">
        <v>569.61</v>
      </c>
      <c r="H193">
        <v>9683.3700000000008</v>
      </c>
      <c r="I193">
        <v>4.2</v>
      </c>
    </row>
    <row r="194" spans="1:9" x14ac:dyDescent="0.35">
      <c r="A194" t="s">
        <v>359</v>
      </c>
      <c r="B194" t="s">
        <v>360</v>
      </c>
      <c r="C194" t="s">
        <v>23</v>
      </c>
      <c r="D194" t="s">
        <v>19</v>
      </c>
      <c r="E194" t="s">
        <v>28</v>
      </c>
      <c r="F194">
        <v>10</v>
      </c>
      <c r="G194">
        <v>386.58</v>
      </c>
      <c r="H194">
        <v>3865.8</v>
      </c>
      <c r="I194">
        <v>4.3</v>
      </c>
    </row>
    <row r="195" spans="1:9" x14ac:dyDescent="0.35">
      <c r="A195" t="s">
        <v>361</v>
      </c>
      <c r="B195" t="s">
        <v>362</v>
      </c>
      <c r="C195" t="s">
        <v>11</v>
      </c>
      <c r="D195" t="s">
        <v>24</v>
      </c>
      <c r="E195" t="s">
        <v>44</v>
      </c>
      <c r="F195">
        <v>20</v>
      </c>
      <c r="G195">
        <v>1421.07</v>
      </c>
      <c r="H195">
        <v>28421.4</v>
      </c>
      <c r="I195">
        <v>4.3</v>
      </c>
    </row>
    <row r="196" spans="1:9" x14ac:dyDescent="0.35">
      <c r="A196" t="s">
        <v>363</v>
      </c>
      <c r="B196" t="s">
        <v>364</v>
      </c>
      <c r="C196" t="s">
        <v>16</v>
      </c>
      <c r="D196" t="s">
        <v>12</v>
      </c>
      <c r="E196" t="s">
        <v>13</v>
      </c>
      <c r="F196">
        <v>7</v>
      </c>
      <c r="G196">
        <v>1144.96</v>
      </c>
      <c r="H196">
        <v>8014.72</v>
      </c>
      <c r="I196">
        <v>4.7</v>
      </c>
    </row>
    <row r="197" spans="1:9" x14ac:dyDescent="0.35">
      <c r="A197" t="s">
        <v>365</v>
      </c>
      <c r="B197" t="s">
        <v>134</v>
      </c>
      <c r="C197" t="s">
        <v>11</v>
      </c>
      <c r="D197" t="s">
        <v>12</v>
      </c>
      <c r="E197" t="s">
        <v>17</v>
      </c>
      <c r="F197">
        <v>8</v>
      </c>
      <c r="G197">
        <v>902.5</v>
      </c>
      <c r="H197">
        <v>7220</v>
      </c>
      <c r="I197">
        <v>4.5</v>
      </c>
    </row>
    <row r="198" spans="1:9" x14ac:dyDescent="0.35">
      <c r="A198" t="s">
        <v>366</v>
      </c>
      <c r="B198" t="s">
        <v>274</v>
      </c>
      <c r="C198" t="s">
        <v>23</v>
      </c>
      <c r="D198" t="s">
        <v>19</v>
      </c>
      <c r="E198" t="s">
        <v>20</v>
      </c>
      <c r="F198">
        <v>23</v>
      </c>
      <c r="G198">
        <v>1472.73</v>
      </c>
      <c r="H198">
        <v>33872.79</v>
      </c>
      <c r="I198">
        <v>4.8</v>
      </c>
    </row>
    <row r="199" spans="1:9" x14ac:dyDescent="0.35">
      <c r="A199" t="s">
        <v>367</v>
      </c>
      <c r="B199" t="s">
        <v>368</v>
      </c>
      <c r="C199" t="s">
        <v>38</v>
      </c>
      <c r="D199" t="s">
        <v>24</v>
      </c>
      <c r="E199" t="s">
        <v>69</v>
      </c>
      <c r="F199">
        <v>19</v>
      </c>
      <c r="G199">
        <v>392.7</v>
      </c>
      <c r="H199">
        <v>7461.3</v>
      </c>
      <c r="I199">
        <v>3</v>
      </c>
    </row>
    <row r="200" spans="1:9" x14ac:dyDescent="0.35">
      <c r="A200" t="s">
        <v>369</v>
      </c>
      <c r="B200" t="s">
        <v>370</v>
      </c>
      <c r="C200" t="s">
        <v>16</v>
      </c>
      <c r="D200" t="s">
        <v>19</v>
      </c>
      <c r="E200" t="s">
        <v>20</v>
      </c>
      <c r="F200">
        <v>14</v>
      </c>
      <c r="G200">
        <v>241.55</v>
      </c>
      <c r="H200">
        <v>3381.7</v>
      </c>
      <c r="I200">
        <v>4.5</v>
      </c>
    </row>
    <row r="201" spans="1:9" x14ac:dyDescent="0.35">
      <c r="A201" t="s">
        <v>371</v>
      </c>
      <c r="B201" t="s">
        <v>372</v>
      </c>
      <c r="C201" t="s">
        <v>11</v>
      </c>
      <c r="D201" t="s">
        <v>24</v>
      </c>
      <c r="E201" t="s">
        <v>25</v>
      </c>
      <c r="F201">
        <v>23</v>
      </c>
      <c r="G201">
        <v>373.21</v>
      </c>
      <c r="H201">
        <v>8583.83</v>
      </c>
      <c r="I201">
        <v>4.8</v>
      </c>
    </row>
    <row r="202" spans="1:9" x14ac:dyDescent="0.35">
      <c r="A202" t="s">
        <v>373</v>
      </c>
      <c r="B202" t="s">
        <v>374</v>
      </c>
      <c r="C202" t="s">
        <v>38</v>
      </c>
      <c r="D202" t="s">
        <v>19</v>
      </c>
      <c r="E202" t="s">
        <v>31</v>
      </c>
      <c r="F202">
        <v>9</v>
      </c>
      <c r="G202">
        <v>1186.32</v>
      </c>
      <c r="H202">
        <v>10676.88</v>
      </c>
      <c r="I202">
        <v>4</v>
      </c>
    </row>
    <row r="203" spans="1:9" x14ac:dyDescent="0.35">
      <c r="A203" t="s">
        <v>375</v>
      </c>
      <c r="B203" t="s">
        <v>376</v>
      </c>
      <c r="C203" t="s">
        <v>16</v>
      </c>
      <c r="D203" t="s">
        <v>12</v>
      </c>
      <c r="E203" t="s">
        <v>13</v>
      </c>
      <c r="F203">
        <v>8</v>
      </c>
      <c r="G203">
        <v>504.27</v>
      </c>
      <c r="H203">
        <v>4034.16</v>
      </c>
      <c r="I203">
        <v>4.2</v>
      </c>
    </row>
    <row r="204" spans="1:9" x14ac:dyDescent="0.35">
      <c r="A204" t="s">
        <v>377</v>
      </c>
      <c r="B204" t="s">
        <v>378</v>
      </c>
      <c r="C204" t="s">
        <v>23</v>
      </c>
      <c r="D204" t="s">
        <v>24</v>
      </c>
      <c r="E204" t="s">
        <v>44</v>
      </c>
      <c r="F204">
        <v>8</v>
      </c>
      <c r="G204">
        <v>800.6</v>
      </c>
      <c r="H204">
        <v>6404.8</v>
      </c>
      <c r="I204">
        <v>4.0999999999999996</v>
      </c>
    </row>
    <row r="205" spans="1:9" x14ac:dyDescent="0.35">
      <c r="A205" t="s">
        <v>379</v>
      </c>
      <c r="B205" t="s">
        <v>216</v>
      </c>
      <c r="C205" t="s">
        <v>23</v>
      </c>
      <c r="D205" t="s">
        <v>19</v>
      </c>
      <c r="E205" t="s">
        <v>28</v>
      </c>
      <c r="F205">
        <v>18</v>
      </c>
      <c r="G205">
        <v>808.35</v>
      </c>
      <c r="H205">
        <v>14550.3</v>
      </c>
      <c r="I205">
        <v>3.5</v>
      </c>
    </row>
    <row r="206" spans="1:9" x14ac:dyDescent="0.35">
      <c r="A206" t="s">
        <v>380</v>
      </c>
      <c r="B206" t="s">
        <v>381</v>
      </c>
      <c r="C206" t="s">
        <v>16</v>
      </c>
      <c r="D206" t="s">
        <v>19</v>
      </c>
      <c r="E206" t="s">
        <v>20</v>
      </c>
      <c r="F206">
        <v>11</v>
      </c>
      <c r="G206">
        <v>801.72</v>
      </c>
      <c r="H206">
        <v>8818.92</v>
      </c>
      <c r="I206">
        <v>3.5</v>
      </c>
    </row>
    <row r="207" spans="1:9" x14ac:dyDescent="0.35">
      <c r="A207" t="s">
        <v>382</v>
      </c>
      <c r="B207" t="s">
        <v>383</v>
      </c>
      <c r="C207" t="s">
        <v>16</v>
      </c>
      <c r="D207" t="s">
        <v>12</v>
      </c>
      <c r="E207" t="s">
        <v>90</v>
      </c>
      <c r="F207">
        <v>21</v>
      </c>
      <c r="G207">
        <v>411.39</v>
      </c>
      <c r="H207">
        <v>8639.19</v>
      </c>
      <c r="I207">
        <v>3.2</v>
      </c>
    </row>
    <row r="208" spans="1:9" x14ac:dyDescent="0.35">
      <c r="A208" t="s">
        <v>384</v>
      </c>
      <c r="B208" t="s">
        <v>385</v>
      </c>
      <c r="C208" t="s">
        <v>38</v>
      </c>
      <c r="D208" t="s">
        <v>19</v>
      </c>
      <c r="E208" t="s">
        <v>20</v>
      </c>
      <c r="F208">
        <v>10</v>
      </c>
      <c r="G208">
        <v>391.56</v>
      </c>
      <c r="H208">
        <v>3915.6</v>
      </c>
      <c r="I208">
        <v>3.9</v>
      </c>
    </row>
    <row r="209" spans="1:9" x14ac:dyDescent="0.35">
      <c r="A209" t="s">
        <v>386</v>
      </c>
      <c r="B209" t="s">
        <v>387</v>
      </c>
      <c r="C209" t="s">
        <v>16</v>
      </c>
      <c r="D209" t="s">
        <v>19</v>
      </c>
      <c r="E209" t="s">
        <v>31</v>
      </c>
      <c r="F209">
        <v>4</v>
      </c>
      <c r="G209">
        <v>1311.38</v>
      </c>
      <c r="H209">
        <v>5245.52</v>
      </c>
      <c r="I209">
        <v>3.4</v>
      </c>
    </row>
    <row r="210" spans="1:9" x14ac:dyDescent="0.35">
      <c r="A210" t="s">
        <v>388</v>
      </c>
      <c r="B210" t="s">
        <v>248</v>
      </c>
      <c r="C210" t="s">
        <v>11</v>
      </c>
      <c r="D210" t="s">
        <v>19</v>
      </c>
      <c r="E210" t="s">
        <v>31</v>
      </c>
      <c r="F210">
        <v>12</v>
      </c>
      <c r="G210">
        <v>830.75</v>
      </c>
      <c r="H210">
        <v>9969</v>
      </c>
      <c r="I210">
        <v>3.9</v>
      </c>
    </row>
    <row r="211" spans="1:9" x14ac:dyDescent="0.35">
      <c r="A211" t="s">
        <v>389</v>
      </c>
      <c r="B211" t="s">
        <v>390</v>
      </c>
      <c r="C211" t="s">
        <v>16</v>
      </c>
      <c r="D211" t="s">
        <v>12</v>
      </c>
      <c r="E211" t="s">
        <v>90</v>
      </c>
      <c r="F211">
        <v>24</v>
      </c>
      <c r="G211">
        <v>638.54999999999995</v>
      </c>
      <c r="H211">
        <v>15325.2</v>
      </c>
      <c r="I211">
        <v>3.6</v>
      </c>
    </row>
    <row r="212" spans="1:9" x14ac:dyDescent="0.35">
      <c r="A212" t="s">
        <v>391</v>
      </c>
      <c r="B212" t="s">
        <v>392</v>
      </c>
      <c r="C212" t="s">
        <v>38</v>
      </c>
      <c r="D212" t="s">
        <v>19</v>
      </c>
      <c r="E212" t="s">
        <v>20</v>
      </c>
      <c r="F212">
        <v>10</v>
      </c>
      <c r="G212">
        <v>428.68</v>
      </c>
      <c r="H212">
        <v>4286.8</v>
      </c>
      <c r="I212">
        <v>3.9</v>
      </c>
    </row>
    <row r="213" spans="1:9" x14ac:dyDescent="0.35">
      <c r="A213" t="s">
        <v>393</v>
      </c>
      <c r="B213" t="s">
        <v>177</v>
      </c>
      <c r="C213" t="s">
        <v>38</v>
      </c>
      <c r="D213" t="s">
        <v>12</v>
      </c>
      <c r="E213" t="s">
        <v>17</v>
      </c>
      <c r="F213">
        <v>4</v>
      </c>
      <c r="G213">
        <v>1448.03</v>
      </c>
      <c r="H213">
        <v>5792.12</v>
      </c>
      <c r="I213">
        <v>4</v>
      </c>
    </row>
    <row r="214" spans="1:9" x14ac:dyDescent="0.35">
      <c r="A214" t="s">
        <v>394</v>
      </c>
      <c r="B214" t="s">
        <v>395</v>
      </c>
      <c r="C214" t="s">
        <v>16</v>
      </c>
      <c r="D214" t="s">
        <v>12</v>
      </c>
      <c r="E214" t="s">
        <v>13</v>
      </c>
      <c r="F214">
        <v>14</v>
      </c>
      <c r="G214">
        <v>1491.62</v>
      </c>
      <c r="H214">
        <v>20882.68</v>
      </c>
      <c r="I214">
        <v>4.5999999999999996</v>
      </c>
    </row>
    <row r="215" spans="1:9" x14ac:dyDescent="0.35">
      <c r="A215" t="s">
        <v>396</v>
      </c>
      <c r="B215" t="s">
        <v>109</v>
      </c>
      <c r="C215" t="s">
        <v>11</v>
      </c>
      <c r="D215" t="s">
        <v>12</v>
      </c>
      <c r="E215" t="s">
        <v>90</v>
      </c>
      <c r="F215">
        <v>23</v>
      </c>
      <c r="G215">
        <v>1266.06</v>
      </c>
      <c r="H215">
        <v>29119.38</v>
      </c>
      <c r="I215">
        <v>3.5</v>
      </c>
    </row>
    <row r="216" spans="1:9" x14ac:dyDescent="0.35">
      <c r="A216" t="s">
        <v>397</v>
      </c>
      <c r="B216" t="s">
        <v>398</v>
      </c>
      <c r="C216" t="s">
        <v>16</v>
      </c>
      <c r="D216" t="s">
        <v>12</v>
      </c>
      <c r="E216" t="s">
        <v>90</v>
      </c>
      <c r="F216">
        <v>23</v>
      </c>
      <c r="G216">
        <v>1485.23</v>
      </c>
      <c r="H216">
        <v>34160.29</v>
      </c>
      <c r="I216">
        <v>3.5</v>
      </c>
    </row>
    <row r="217" spans="1:9" x14ac:dyDescent="0.35">
      <c r="A217" t="s">
        <v>399</v>
      </c>
      <c r="B217" t="s">
        <v>233</v>
      </c>
      <c r="C217" t="s">
        <v>23</v>
      </c>
      <c r="D217" t="s">
        <v>24</v>
      </c>
      <c r="E217" t="s">
        <v>25</v>
      </c>
      <c r="F217">
        <v>8</v>
      </c>
      <c r="G217">
        <v>1029.8699999999999</v>
      </c>
      <c r="H217">
        <v>8238.9599999999991</v>
      </c>
      <c r="I217">
        <v>4.7</v>
      </c>
    </row>
    <row r="218" spans="1:9" x14ac:dyDescent="0.35">
      <c r="A218" t="s">
        <v>400</v>
      </c>
      <c r="B218" t="s">
        <v>401</v>
      </c>
      <c r="C218" t="s">
        <v>11</v>
      </c>
      <c r="D218" t="s">
        <v>19</v>
      </c>
      <c r="E218" t="s">
        <v>20</v>
      </c>
      <c r="F218">
        <v>12</v>
      </c>
      <c r="G218">
        <v>96.06</v>
      </c>
      <c r="H218">
        <v>1152.72</v>
      </c>
      <c r="I218">
        <v>4.0999999999999996</v>
      </c>
    </row>
    <row r="219" spans="1:9" x14ac:dyDescent="0.35">
      <c r="A219" t="s">
        <v>402</v>
      </c>
      <c r="B219" t="s">
        <v>403</v>
      </c>
      <c r="C219" t="s">
        <v>38</v>
      </c>
      <c r="D219" t="s">
        <v>24</v>
      </c>
      <c r="E219" t="s">
        <v>25</v>
      </c>
      <c r="F219">
        <v>8</v>
      </c>
      <c r="G219">
        <v>1272.23</v>
      </c>
      <c r="H219">
        <v>10177.84</v>
      </c>
      <c r="I219">
        <v>4.2</v>
      </c>
    </row>
    <row r="220" spans="1:9" x14ac:dyDescent="0.35">
      <c r="A220" t="s">
        <v>404</v>
      </c>
      <c r="B220" t="s">
        <v>124</v>
      </c>
      <c r="C220" t="s">
        <v>38</v>
      </c>
      <c r="D220" t="s">
        <v>12</v>
      </c>
      <c r="E220" t="s">
        <v>13</v>
      </c>
      <c r="F220">
        <v>25</v>
      </c>
      <c r="G220">
        <v>1356.38</v>
      </c>
      <c r="H220">
        <v>33909.5</v>
      </c>
      <c r="I220">
        <v>4.4000000000000004</v>
      </c>
    </row>
    <row r="221" spans="1:9" x14ac:dyDescent="0.35">
      <c r="A221" t="s">
        <v>405</v>
      </c>
      <c r="B221" t="s">
        <v>227</v>
      </c>
      <c r="C221" t="s">
        <v>23</v>
      </c>
      <c r="D221" t="s">
        <v>19</v>
      </c>
      <c r="E221" t="s">
        <v>31</v>
      </c>
      <c r="F221">
        <v>15</v>
      </c>
      <c r="G221">
        <v>523.63</v>
      </c>
      <c r="H221">
        <v>7854.45</v>
      </c>
      <c r="I221">
        <v>3.5</v>
      </c>
    </row>
    <row r="222" spans="1:9" x14ac:dyDescent="0.35">
      <c r="A222" t="s">
        <v>406</v>
      </c>
      <c r="B222" t="s">
        <v>145</v>
      </c>
      <c r="C222" t="s">
        <v>11</v>
      </c>
      <c r="D222" t="s">
        <v>19</v>
      </c>
      <c r="E222" t="s">
        <v>31</v>
      </c>
      <c r="F222">
        <v>6</v>
      </c>
      <c r="G222">
        <v>403.68</v>
      </c>
      <c r="H222">
        <v>2422.08</v>
      </c>
      <c r="I222">
        <v>4.5</v>
      </c>
    </row>
    <row r="223" spans="1:9" x14ac:dyDescent="0.35">
      <c r="A223" t="s">
        <v>407</v>
      </c>
      <c r="B223" t="s">
        <v>408</v>
      </c>
      <c r="C223" t="s">
        <v>11</v>
      </c>
      <c r="D223" t="s">
        <v>24</v>
      </c>
      <c r="E223" t="s">
        <v>69</v>
      </c>
      <c r="F223">
        <v>6</v>
      </c>
      <c r="G223">
        <v>130.44999999999999</v>
      </c>
      <c r="H223">
        <v>782.7</v>
      </c>
      <c r="I223">
        <v>4.2</v>
      </c>
    </row>
    <row r="224" spans="1:9" x14ac:dyDescent="0.35">
      <c r="A224" t="s">
        <v>409</v>
      </c>
      <c r="B224" t="s">
        <v>410</v>
      </c>
      <c r="C224" t="s">
        <v>38</v>
      </c>
      <c r="D224" t="s">
        <v>12</v>
      </c>
      <c r="E224" t="s">
        <v>13</v>
      </c>
      <c r="F224">
        <v>3</v>
      </c>
      <c r="G224">
        <v>352.02</v>
      </c>
      <c r="H224">
        <v>1056.06</v>
      </c>
      <c r="I224">
        <v>4.5999999999999996</v>
      </c>
    </row>
    <row r="225" spans="1:9" x14ac:dyDescent="0.35">
      <c r="A225" t="s">
        <v>411</v>
      </c>
      <c r="B225" t="s">
        <v>136</v>
      </c>
      <c r="C225" t="s">
        <v>11</v>
      </c>
      <c r="D225" t="s">
        <v>24</v>
      </c>
      <c r="E225" t="s">
        <v>69</v>
      </c>
      <c r="F225">
        <v>23</v>
      </c>
      <c r="G225">
        <v>1241.43</v>
      </c>
      <c r="H225">
        <v>28552.89</v>
      </c>
      <c r="I225">
        <v>3.9</v>
      </c>
    </row>
    <row r="226" spans="1:9" x14ac:dyDescent="0.35">
      <c r="A226" t="s">
        <v>412</v>
      </c>
      <c r="B226" t="s">
        <v>413</v>
      </c>
      <c r="C226" t="s">
        <v>23</v>
      </c>
      <c r="D226" t="s">
        <v>19</v>
      </c>
      <c r="E226" t="s">
        <v>28</v>
      </c>
      <c r="F226">
        <v>5</v>
      </c>
      <c r="G226">
        <v>786.04</v>
      </c>
      <c r="H226">
        <v>3930.2</v>
      </c>
      <c r="I226">
        <v>3.1</v>
      </c>
    </row>
    <row r="227" spans="1:9" x14ac:dyDescent="0.35">
      <c r="A227" t="s">
        <v>414</v>
      </c>
      <c r="B227" t="s">
        <v>15</v>
      </c>
      <c r="C227" t="s">
        <v>23</v>
      </c>
      <c r="D227" t="s">
        <v>19</v>
      </c>
      <c r="E227" t="s">
        <v>31</v>
      </c>
      <c r="F227">
        <v>5</v>
      </c>
      <c r="G227">
        <v>666.41</v>
      </c>
      <c r="H227">
        <v>3332.05</v>
      </c>
      <c r="I227">
        <v>3.1</v>
      </c>
    </row>
    <row r="228" spans="1:9" x14ac:dyDescent="0.35">
      <c r="A228" t="s">
        <v>415</v>
      </c>
      <c r="B228" t="s">
        <v>71</v>
      </c>
      <c r="C228" t="s">
        <v>23</v>
      </c>
      <c r="D228" t="s">
        <v>19</v>
      </c>
      <c r="E228" t="s">
        <v>31</v>
      </c>
      <c r="F228">
        <v>19</v>
      </c>
      <c r="G228">
        <v>1463.41</v>
      </c>
      <c r="H228">
        <v>27804.79</v>
      </c>
      <c r="I228">
        <v>3.6</v>
      </c>
    </row>
    <row r="229" spans="1:9" x14ac:dyDescent="0.35">
      <c r="A229" t="s">
        <v>416</v>
      </c>
      <c r="B229" t="s">
        <v>390</v>
      </c>
      <c r="C229" t="s">
        <v>38</v>
      </c>
      <c r="D229" t="s">
        <v>12</v>
      </c>
      <c r="E229" t="s">
        <v>17</v>
      </c>
      <c r="F229">
        <v>18</v>
      </c>
      <c r="G229">
        <v>624.47</v>
      </c>
      <c r="H229">
        <v>11240.46</v>
      </c>
      <c r="I229">
        <v>4.9000000000000004</v>
      </c>
    </row>
    <row r="230" spans="1:9" x14ac:dyDescent="0.35">
      <c r="A230" t="s">
        <v>417</v>
      </c>
      <c r="B230" t="s">
        <v>284</v>
      </c>
      <c r="C230" t="s">
        <v>23</v>
      </c>
      <c r="D230" t="s">
        <v>19</v>
      </c>
      <c r="E230" t="s">
        <v>20</v>
      </c>
      <c r="F230">
        <v>8</v>
      </c>
      <c r="G230">
        <v>1046.3399999999999</v>
      </c>
      <c r="H230">
        <v>8370.7199999999993</v>
      </c>
      <c r="I230">
        <v>3.5</v>
      </c>
    </row>
    <row r="231" spans="1:9" x14ac:dyDescent="0.35">
      <c r="A231" t="s">
        <v>418</v>
      </c>
      <c r="B231" t="s">
        <v>239</v>
      </c>
      <c r="C231" t="s">
        <v>16</v>
      </c>
      <c r="D231" t="s">
        <v>24</v>
      </c>
      <c r="E231" t="s">
        <v>44</v>
      </c>
      <c r="F231">
        <v>3</v>
      </c>
      <c r="G231">
        <v>417.11</v>
      </c>
      <c r="H231">
        <v>1251.33</v>
      </c>
      <c r="I231">
        <v>4</v>
      </c>
    </row>
    <row r="232" spans="1:9" x14ac:dyDescent="0.35">
      <c r="A232" t="s">
        <v>419</v>
      </c>
      <c r="B232" t="s">
        <v>420</v>
      </c>
      <c r="C232" t="s">
        <v>16</v>
      </c>
      <c r="D232" t="s">
        <v>12</v>
      </c>
      <c r="E232" t="s">
        <v>90</v>
      </c>
      <c r="F232">
        <v>13</v>
      </c>
      <c r="G232">
        <v>928.47</v>
      </c>
      <c r="H232">
        <v>12070.11</v>
      </c>
      <c r="I232">
        <v>3.2</v>
      </c>
    </row>
    <row r="233" spans="1:9" x14ac:dyDescent="0.35">
      <c r="A233" t="s">
        <v>421</v>
      </c>
      <c r="B233" t="s">
        <v>422</v>
      </c>
      <c r="C233" t="s">
        <v>38</v>
      </c>
      <c r="D233" t="s">
        <v>12</v>
      </c>
      <c r="E233" t="s">
        <v>13</v>
      </c>
      <c r="F233">
        <v>9</v>
      </c>
      <c r="G233">
        <v>440.64</v>
      </c>
      <c r="H233">
        <v>3965.76</v>
      </c>
      <c r="I233">
        <v>4.8</v>
      </c>
    </row>
    <row r="234" spans="1:9" x14ac:dyDescent="0.35">
      <c r="A234" t="s">
        <v>423</v>
      </c>
      <c r="B234" t="s">
        <v>277</v>
      </c>
      <c r="C234" t="s">
        <v>23</v>
      </c>
      <c r="D234" t="s">
        <v>24</v>
      </c>
      <c r="E234" t="s">
        <v>69</v>
      </c>
      <c r="F234">
        <v>9</v>
      </c>
      <c r="G234">
        <v>1473.32</v>
      </c>
      <c r="H234">
        <v>13259.88</v>
      </c>
      <c r="I234">
        <v>4.5</v>
      </c>
    </row>
    <row r="235" spans="1:9" x14ac:dyDescent="0.35">
      <c r="A235" t="s">
        <v>424</v>
      </c>
      <c r="B235" t="s">
        <v>425</v>
      </c>
      <c r="C235" t="s">
        <v>38</v>
      </c>
      <c r="D235" t="s">
        <v>19</v>
      </c>
      <c r="E235" t="s">
        <v>20</v>
      </c>
      <c r="F235">
        <v>7</v>
      </c>
      <c r="G235">
        <v>642.73</v>
      </c>
      <c r="H235">
        <v>4499.1099999999997</v>
      </c>
      <c r="I235">
        <v>3.1</v>
      </c>
    </row>
    <row r="236" spans="1:9" x14ac:dyDescent="0.35">
      <c r="A236" t="s">
        <v>426</v>
      </c>
      <c r="B236" t="s">
        <v>37</v>
      </c>
      <c r="C236" t="s">
        <v>38</v>
      </c>
      <c r="D236" t="s">
        <v>19</v>
      </c>
      <c r="E236" t="s">
        <v>28</v>
      </c>
      <c r="F236">
        <v>24</v>
      </c>
      <c r="G236">
        <v>382.75</v>
      </c>
      <c r="H236">
        <v>9186</v>
      </c>
      <c r="I236">
        <v>3.2</v>
      </c>
    </row>
    <row r="237" spans="1:9" x14ac:dyDescent="0.35">
      <c r="A237" t="s">
        <v>427</v>
      </c>
      <c r="B237" t="s">
        <v>428</v>
      </c>
      <c r="C237" t="s">
        <v>23</v>
      </c>
      <c r="D237" t="s">
        <v>24</v>
      </c>
      <c r="E237" t="s">
        <v>69</v>
      </c>
      <c r="F237">
        <v>25</v>
      </c>
      <c r="G237">
        <v>248.71</v>
      </c>
      <c r="H237">
        <v>6217.75</v>
      </c>
      <c r="I237">
        <v>4.8</v>
      </c>
    </row>
    <row r="238" spans="1:9" x14ac:dyDescent="0.35">
      <c r="A238" t="s">
        <v>429</v>
      </c>
      <c r="B238" t="s">
        <v>430</v>
      </c>
      <c r="C238" t="s">
        <v>11</v>
      </c>
      <c r="D238" t="s">
        <v>24</v>
      </c>
      <c r="E238" t="s">
        <v>69</v>
      </c>
      <c r="F238">
        <v>1</v>
      </c>
      <c r="G238">
        <v>1320.38</v>
      </c>
      <c r="H238">
        <v>1320.38</v>
      </c>
      <c r="I238">
        <v>3.4</v>
      </c>
    </row>
    <row r="239" spans="1:9" x14ac:dyDescent="0.35">
      <c r="A239" t="s">
        <v>431</v>
      </c>
      <c r="B239" t="s">
        <v>112</v>
      </c>
      <c r="C239" t="s">
        <v>11</v>
      </c>
      <c r="D239" t="s">
        <v>12</v>
      </c>
      <c r="E239" t="s">
        <v>90</v>
      </c>
      <c r="F239">
        <v>18</v>
      </c>
      <c r="G239">
        <v>503.69</v>
      </c>
      <c r="H239">
        <v>9066.42</v>
      </c>
      <c r="I239">
        <v>4.9000000000000004</v>
      </c>
    </row>
    <row r="240" spans="1:9" x14ac:dyDescent="0.35">
      <c r="A240" t="s">
        <v>432</v>
      </c>
      <c r="B240" t="s">
        <v>10</v>
      </c>
      <c r="C240" t="s">
        <v>16</v>
      </c>
      <c r="D240" t="s">
        <v>19</v>
      </c>
      <c r="E240" t="s">
        <v>28</v>
      </c>
      <c r="F240">
        <v>1</v>
      </c>
      <c r="G240">
        <v>887.9</v>
      </c>
      <c r="H240">
        <v>887.9</v>
      </c>
      <c r="I240">
        <v>3</v>
      </c>
    </row>
    <row r="241" spans="1:9" x14ac:dyDescent="0.35">
      <c r="A241" t="s">
        <v>433</v>
      </c>
      <c r="B241" t="s">
        <v>434</v>
      </c>
      <c r="C241" t="s">
        <v>23</v>
      </c>
      <c r="D241" t="s">
        <v>12</v>
      </c>
      <c r="E241" t="s">
        <v>13</v>
      </c>
      <c r="F241">
        <v>7</v>
      </c>
      <c r="G241">
        <v>813.85</v>
      </c>
      <c r="H241">
        <v>5696.95</v>
      </c>
      <c r="I241">
        <v>3.2</v>
      </c>
    </row>
    <row r="242" spans="1:9" x14ac:dyDescent="0.35">
      <c r="A242" t="s">
        <v>435</v>
      </c>
      <c r="B242" t="s">
        <v>436</v>
      </c>
      <c r="C242" t="s">
        <v>16</v>
      </c>
      <c r="D242" t="s">
        <v>19</v>
      </c>
      <c r="E242" t="s">
        <v>20</v>
      </c>
      <c r="F242">
        <v>24</v>
      </c>
      <c r="G242">
        <v>699.21</v>
      </c>
      <c r="H242">
        <v>16781.04</v>
      </c>
      <c r="I242">
        <v>4.4000000000000004</v>
      </c>
    </row>
    <row r="243" spans="1:9" x14ac:dyDescent="0.35">
      <c r="A243" t="s">
        <v>437</v>
      </c>
      <c r="B243" t="s">
        <v>438</v>
      </c>
      <c r="C243" t="s">
        <v>16</v>
      </c>
      <c r="D243" t="s">
        <v>12</v>
      </c>
      <c r="E243" t="s">
        <v>17</v>
      </c>
      <c r="F243">
        <v>14</v>
      </c>
      <c r="G243">
        <v>391.44</v>
      </c>
      <c r="H243">
        <v>5480.16</v>
      </c>
      <c r="I243">
        <v>3.4</v>
      </c>
    </row>
    <row r="244" spans="1:9" x14ac:dyDescent="0.35">
      <c r="A244" t="s">
        <v>439</v>
      </c>
      <c r="B244" t="s">
        <v>319</v>
      </c>
      <c r="C244" t="s">
        <v>11</v>
      </c>
      <c r="D244" t="s">
        <v>19</v>
      </c>
      <c r="E244" t="s">
        <v>31</v>
      </c>
      <c r="F244">
        <v>9</v>
      </c>
      <c r="G244">
        <v>1396.53</v>
      </c>
      <c r="H244">
        <v>12568.77</v>
      </c>
      <c r="I244">
        <v>3.3</v>
      </c>
    </row>
    <row r="245" spans="1:9" x14ac:dyDescent="0.35">
      <c r="A245" t="s">
        <v>440</v>
      </c>
      <c r="B245" t="s">
        <v>441</v>
      </c>
      <c r="C245" t="s">
        <v>38</v>
      </c>
      <c r="D245" t="s">
        <v>12</v>
      </c>
      <c r="E245" t="s">
        <v>17</v>
      </c>
      <c r="F245">
        <v>2</v>
      </c>
      <c r="G245">
        <v>1304.76</v>
      </c>
      <c r="H245">
        <v>2609.52</v>
      </c>
      <c r="I245">
        <v>3.4</v>
      </c>
    </row>
    <row r="246" spans="1:9" x14ac:dyDescent="0.35">
      <c r="A246" t="s">
        <v>442</v>
      </c>
      <c r="B246" t="s">
        <v>443</v>
      </c>
      <c r="C246" t="s">
        <v>38</v>
      </c>
      <c r="D246" t="s">
        <v>24</v>
      </c>
      <c r="E246" t="s">
        <v>25</v>
      </c>
      <c r="F246">
        <v>11</v>
      </c>
      <c r="G246">
        <v>641.26</v>
      </c>
      <c r="H246">
        <v>7053.86</v>
      </c>
      <c r="I246">
        <v>4.3</v>
      </c>
    </row>
    <row r="247" spans="1:9" x14ac:dyDescent="0.35">
      <c r="A247" t="s">
        <v>444</v>
      </c>
      <c r="B247" t="s">
        <v>445</v>
      </c>
      <c r="C247" t="s">
        <v>11</v>
      </c>
      <c r="D247" t="s">
        <v>24</v>
      </c>
      <c r="E247" t="s">
        <v>69</v>
      </c>
      <c r="F247">
        <v>5</v>
      </c>
      <c r="G247">
        <v>534.67999999999995</v>
      </c>
      <c r="H247">
        <v>2673.4</v>
      </c>
      <c r="I247">
        <v>3.7</v>
      </c>
    </row>
    <row r="248" spans="1:9" x14ac:dyDescent="0.35">
      <c r="A248" t="s">
        <v>446</v>
      </c>
      <c r="B248" t="s">
        <v>447</v>
      </c>
      <c r="C248" t="s">
        <v>11</v>
      </c>
      <c r="D248" t="s">
        <v>24</v>
      </c>
      <c r="E248" t="s">
        <v>25</v>
      </c>
      <c r="F248">
        <v>11</v>
      </c>
      <c r="G248">
        <v>106.33</v>
      </c>
      <c r="H248">
        <v>1169.6300000000001</v>
      </c>
      <c r="I248">
        <v>3.1</v>
      </c>
    </row>
    <row r="249" spans="1:9" x14ac:dyDescent="0.35">
      <c r="A249" t="s">
        <v>448</v>
      </c>
      <c r="B249" t="s">
        <v>126</v>
      </c>
      <c r="C249" t="s">
        <v>16</v>
      </c>
      <c r="D249" t="s">
        <v>19</v>
      </c>
      <c r="E249" t="s">
        <v>28</v>
      </c>
      <c r="F249">
        <v>1</v>
      </c>
      <c r="G249">
        <v>1473.41</v>
      </c>
      <c r="H249">
        <v>1473.41</v>
      </c>
      <c r="I249">
        <v>3.5</v>
      </c>
    </row>
    <row r="250" spans="1:9" x14ac:dyDescent="0.35">
      <c r="A250" t="s">
        <v>449</v>
      </c>
      <c r="B250" t="s">
        <v>450</v>
      </c>
      <c r="C250" t="s">
        <v>38</v>
      </c>
      <c r="D250" t="s">
        <v>12</v>
      </c>
      <c r="E250" t="s">
        <v>17</v>
      </c>
      <c r="F250">
        <v>13</v>
      </c>
      <c r="G250">
        <v>1445.24</v>
      </c>
      <c r="H250">
        <v>18788.12</v>
      </c>
      <c r="I250">
        <v>4.9000000000000004</v>
      </c>
    </row>
    <row r="251" spans="1:9" x14ac:dyDescent="0.35">
      <c r="A251" t="s">
        <v>451</v>
      </c>
      <c r="B251" t="s">
        <v>452</v>
      </c>
      <c r="C251" t="s">
        <v>16</v>
      </c>
      <c r="D251" t="s">
        <v>19</v>
      </c>
      <c r="E251" t="s">
        <v>31</v>
      </c>
      <c r="F251">
        <v>13</v>
      </c>
      <c r="G251">
        <v>1464.23</v>
      </c>
      <c r="H251">
        <v>19034.990000000002</v>
      </c>
      <c r="I251">
        <v>4.0999999999999996</v>
      </c>
    </row>
    <row r="252" spans="1:9" x14ac:dyDescent="0.35">
      <c r="A252" t="s">
        <v>453</v>
      </c>
      <c r="B252" t="s">
        <v>78</v>
      </c>
      <c r="C252" t="s">
        <v>16</v>
      </c>
      <c r="D252" t="s">
        <v>24</v>
      </c>
      <c r="E252" t="s">
        <v>69</v>
      </c>
      <c r="F252">
        <v>18</v>
      </c>
      <c r="G252">
        <v>1307.8900000000001</v>
      </c>
      <c r="H252">
        <v>23542.02</v>
      </c>
      <c r="I252">
        <v>4.0999999999999996</v>
      </c>
    </row>
    <row r="253" spans="1:9" x14ac:dyDescent="0.35">
      <c r="A253" t="s">
        <v>454</v>
      </c>
      <c r="B253" t="s">
        <v>455</v>
      </c>
      <c r="C253" t="s">
        <v>11</v>
      </c>
      <c r="D253" t="s">
        <v>19</v>
      </c>
      <c r="E253" t="s">
        <v>31</v>
      </c>
      <c r="F253">
        <v>15</v>
      </c>
      <c r="G253">
        <v>445.75</v>
      </c>
      <c r="H253">
        <v>6686.25</v>
      </c>
      <c r="I253">
        <v>3.4</v>
      </c>
    </row>
    <row r="254" spans="1:9" x14ac:dyDescent="0.35">
      <c r="A254" t="s">
        <v>456</v>
      </c>
      <c r="B254" t="s">
        <v>457</v>
      </c>
      <c r="C254" t="s">
        <v>11</v>
      </c>
      <c r="D254" t="s">
        <v>24</v>
      </c>
      <c r="E254" t="s">
        <v>69</v>
      </c>
      <c r="F254">
        <v>25</v>
      </c>
      <c r="G254">
        <v>134.22999999999999</v>
      </c>
      <c r="H254">
        <v>3355.75</v>
      </c>
      <c r="I254">
        <v>4.5999999999999996</v>
      </c>
    </row>
    <row r="255" spans="1:9" x14ac:dyDescent="0.35">
      <c r="A255" t="s">
        <v>458</v>
      </c>
      <c r="B255" t="s">
        <v>459</v>
      </c>
      <c r="C255" t="s">
        <v>38</v>
      </c>
      <c r="D255" t="s">
        <v>12</v>
      </c>
      <c r="E255" t="s">
        <v>90</v>
      </c>
      <c r="F255">
        <v>19</v>
      </c>
      <c r="G255">
        <v>1429.93</v>
      </c>
      <c r="H255">
        <v>27168.67</v>
      </c>
      <c r="I255">
        <v>3.5</v>
      </c>
    </row>
    <row r="256" spans="1:9" x14ac:dyDescent="0.35">
      <c r="A256" t="s">
        <v>460</v>
      </c>
      <c r="B256" t="s">
        <v>233</v>
      </c>
      <c r="C256" t="s">
        <v>38</v>
      </c>
      <c r="D256" t="s">
        <v>24</v>
      </c>
      <c r="E256" t="s">
        <v>44</v>
      </c>
      <c r="F256">
        <v>10</v>
      </c>
      <c r="G256">
        <v>110.21</v>
      </c>
      <c r="H256">
        <v>1102.0999999999999</v>
      </c>
      <c r="I256">
        <v>4.9000000000000004</v>
      </c>
    </row>
    <row r="257" spans="1:9" x14ac:dyDescent="0.35">
      <c r="A257" t="s">
        <v>461</v>
      </c>
      <c r="B257" t="s">
        <v>462</v>
      </c>
      <c r="C257" t="s">
        <v>11</v>
      </c>
      <c r="D257" t="s">
        <v>19</v>
      </c>
      <c r="E257" t="s">
        <v>20</v>
      </c>
      <c r="F257">
        <v>12</v>
      </c>
      <c r="G257">
        <v>50.08</v>
      </c>
      <c r="H257">
        <v>600.96</v>
      </c>
      <c r="I257">
        <v>3.7</v>
      </c>
    </row>
    <row r="258" spans="1:9" x14ac:dyDescent="0.35">
      <c r="A258" t="s">
        <v>463</v>
      </c>
      <c r="B258" t="s">
        <v>153</v>
      </c>
      <c r="C258" t="s">
        <v>16</v>
      </c>
      <c r="D258" t="s">
        <v>19</v>
      </c>
      <c r="E258" t="s">
        <v>31</v>
      </c>
      <c r="F258">
        <v>25</v>
      </c>
      <c r="G258">
        <v>1237.67</v>
      </c>
      <c r="H258">
        <v>30941.75</v>
      </c>
      <c r="I258">
        <v>4.2</v>
      </c>
    </row>
    <row r="259" spans="1:9" x14ac:dyDescent="0.35">
      <c r="A259" t="s">
        <v>464</v>
      </c>
      <c r="B259" t="s">
        <v>10</v>
      </c>
      <c r="C259" t="s">
        <v>16</v>
      </c>
      <c r="D259" t="s">
        <v>24</v>
      </c>
      <c r="E259" t="s">
        <v>44</v>
      </c>
      <c r="F259">
        <v>12</v>
      </c>
      <c r="G259">
        <v>770.02</v>
      </c>
      <c r="H259">
        <v>9240.24</v>
      </c>
      <c r="I259">
        <v>4</v>
      </c>
    </row>
    <row r="260" spans="1:9" x14ac:dyDescent="0.35">
      <c r="A260" t="s">
        <v>465</v>
      </c>
      <c r="B260" t="s">
        <v>392</v>
      </c>
      <c r="C260" t="s">
        <v>23</v>
      </c>
      <c r="D260" t="s">
        <v>19</v>
      </c>
      <c r="E260" t="s">
        <v>31</v>
      </c>
      <c r="F260">
        <v>22</v>
      </c>
      <c r="G260">
        <v>912.66</v>
      </c>
      <c r="H260">
        <v>20078.52</v>
      </c>
      <c r="I260">
        <v>4.2</v>
      </c>
    </row>
    <row r="261" spans="1:9" x14ac:dyDescent="0.35">
      <c r="A261" t="s">
        <v>466</v>
      </c>
      <c r="B261" t="s">
        <v>272</v>
      </c>
      <c r="C261" t="s">
        <v>23</v>
      </c>
      <c r="D261" t="s">
        <v>12</v>
      </c>
      <c r="E261" t="s">
        <v>13</v>
      </c>
      <c r="F261">
        <v>14</v>
      </c>
      <c r="G261">
        <v>1120.0999999999999</v>
      </c>
      <c r="H261">
        <v>15681.4</v>
      </c>
      <c r="I261">
        <v>3.9</v>
      </c>
    </row>
    <row r="262" spans="1:9" x14ac:dyDescent="0.35">
      <c r="A262" t="s">
        <v>467</v>
      </c>
      <c r="B262" t="s">
        <v>468</v>
      </c>
      <c r="C262" t="s">
        <v>23</v>
      </c>
      <c r="D262" t="s">
        <v>24</v>
      </c>
      <c r="E262" t="s">
        <v>69</v>
      </c>
      <c r="F262">
        <v>20</v>
      </c>
      <c r="G262">
        <v>472.68</v>
      </c>
      <c r="H262">
        <v>9453.6</v>
      </c>
      <c r="I262">
        <v>4.4000000000000004</v>
      </c>
    </row>
    <row r="263" spans="1:9" x14ac:dyDescent="0.35">
      <c r="A263" t="s">
        <v>469</v>
      </c>
      <c r="B263" t="s">
        <v>470</v>
      </c>
      <c r="C263" t="s">
        <v>16</v>
      </c>
      <c r="D263" t="s">
        <v>24</v>
      </c>
      <c r="E263" t="s">
        <v>69</v>
      </c>
      <c r="F263">
        <v>3</v>
      </c>
      <c r="G263">
        <v>553.29</v>
      </c>
      <c r="H263">
        <v>1659.87</v>
      </c>
      <c r="I263">
        <v>4.2</v>
      </c>
    </row>
    <row r="264" spans="1:9" x14ac:dyDescent="0.35">
      <c r="A264" t="s">
        <v>471</v>
      </c>
      <c r="B264" t="s">
        <v>225</v>
      </c>
      <c r="C264" t="s">
        <v>16</v>
      </c>
      <c r="D264" t="s">
        <v>24</v>
      </c>
      <c r="E264" t="s">
        <v>44</v>
      </c>
      <c r="F264">
        <v>10</v>
      </c>
      <c r="G264">
        <v>441.85</v>
      </c>
      <c r="H264">
        <v>4418.5</v>
      </c>
      <c r="I264">
        <v>3.4</v>
      </c>
    </row>
    <row r="265" spans="1:9" x14ac:dyDescent="0.35">
      <c r="A265" t="s">
        <v>472</v>
      </c>
      <c r="B265" t="s">
        <v>274</v>
      </c>
      <c r="C265" t="s">
        <v>11</v>
      </c>
      <c r="D265" t="s">
        <v>12</v>
      </c>
      <c r="E265" t="s">
        <v>90</v>
      </c>
      <c r="F265">
        <v>24</v>
      </c>
      <c r="G265">
        <v>485.5</v>
      </c>
      <c r="H265">
        <v>11652</v>
      </c>
      <c r="I265">
        <v>3.4</v>
      </c>
    </row>
    <row r="266" spans="1:9" x14ac:dyDescent="0.35">
      <c r="A266" t="s">
        <v>473</v>
      </c>
      <c r="B266" t="s">
        <v>474</v>
      </c>
      <c r="C266" t="s">
        <v>11</v>
      </c>
      <c r="D266" t="s">
        <v>19</v>
      </c>
      <c r="E266" t="s">
        <v>20</v>
      </c>
      <c r="F266">
        <v>20</v>
      </c>
      <c r="G266">
        <v>609.20000000000005</v>
      </c>
      <c r="H266">
        <v>12184</v>
      </c>
      <c r="I266">
        <v>3.8</v>
      </c>
    </row>
    <row r="267" spans="1:9" x14ac:dyDescent="0.35">
      <c r="A267" t="s">
        <v>475</v>
      </c>
      <c r="B267" t="s">
        <v>96</v>
      </c>
      <c r="C267" t="s">
        <v>38</v>
      </c>
      <c r="D267" t="s">
        <v>19</v>
      </c>
      <c r="E267" t="s">
        <v>28</v>
      </c>
      <c r="F267">
        <v>12</v>
      </c>
      <c r="G267">
        <v>851.79</v>
      </c>
      <c r="H267">
        <v>10221.48</v>
      </c>
      <c r="I267">
        <v>3.4</v>
      </c>
    </row>
    <row r="268" spans="1:9" x14ac:dyDescent="0.35">
      <c r="A268" t="s">
        <v>476</v>
      </c>
      <c r="B268" t="s">
        <v>477</v>
      </c>
      <c r="C268" t="s">
        <v>38</v>
      </c>
      <c r="D268" t="s">
        <v>12</v>
      </c>
      <c r="E268" t="s">
        <v>17</v>
      </c>
      <c r="F268">
        <v>6</v>
      </c>
      <c r="G268">
        <v>456.93</v>
      </c>
      <c r="H268">
        <v>2741.58</v>
      </c>
      <c r="I268">
        <v>3.9</v>
      </c>
    </row>
    <row r="269" spans="1:9" x14ac:dyDescent="0.35">
      <c r="A269" t="s">
        <v>478</v>
      </c>
      <c r="B269" t="s">
        <v>479</v>
      </c>
      <c r="C269" t="s">
        <v>16</v>
      </c>
      <c r="D269" t="s">
        <v>12</v>
      </c>
      <c r="E269" t="s">
        <v>90</v>
      </c>
      <c r="F269">
        <v>18</v>
      </c>
      <c r="G269">
        <v>1402.38</v>
      </c>
      <c r="H269">
        <v>25242.84</v>
      </c>
      <c r="I269">
        <v>3.8</v>
      </c>
    </row>
    <row r="270" spans="1:9" x14ac:dyDescent="0.35">
      <c r="A270" t="s">
        <v>480</v>
      </c>
      <c r="B270" t="s">
        <v>310</v>
      </c>
      <c r="C270" t="s">
        <v>38</v>
      </c>
      <c r="D270" t="s">
        <v>12</v>
      </c>
      <c r="E270" t="s">
        <v>90</v>
      </c>
      <c r="F270">
        <v>9</v>
      </c>
      <c r="G270">
        <v>119.8</v>
      </c>
      <c r="H270">
        <v>1078.2</v>
      </c>
      <c r="I270">
        <v>4.5999999999999996</v>
      </c>
    </row>
    <row r="271" spans="1:9" x14ac:dyDescent="0.35">
      <c r="A271" t="s">
        <v>481</v>
      </c>
      <c r="B271" t="s">
        <v>482</v>
      </c>
      <c r="C271" t="s">
        <v>16</v>
      </c>
      <c r="D271" t="s">
        <v>12</v>
      </c>
      <c r="E271" t="s">
        <v>13</v>
      </c>
      <c r="F271">
        <v>13</v>
      </c>
      <c r="G271">
        <v>180.97</v>
      </c>
      <c r="H271">
        <v>2352.61</v>
      </c>
      <c r="I271">
        <v>3.7</v>
      </c>
    </row>
    <row r="272" spans="1:9" x14ac:dyDescent="0.35">
      <c r="A272" t="s">
        <v>483</v>
      </c>
      <c r="B272" t="s">
        <v>484</v>
      </c>
      <c r="C272" t="s">
        <v>38</v>
      </c>
      <c r="D272" t="s">
        <v>12</v>
      </c>
      <c r="E272" t="s">
        <v>90</v>
      </c>
      <c r="F272">
        <v>4</v>
      </c>
      <c r="G272">
        <v>716.59</v>
      </c>
      <c r="H272">
        <v>2866.36</v>
      </c>
      <c r="I272">
        <v>4.5</v>
      </c>
    </row>
    <row r="273" spans="1:9" x14ac:dyDescent="0.35">
      <c r="A273" t="s">
        <v>485</v>
      </c>
      <c r="B273" t="s">
        <v>441</v>
      </c>
      <c r="C273" t="s">
        <v>16</v>
      </c>
      <c r="D273" t="s">
        <v>19</v>
      </c>
      <c r="E273" t="s">
        <v>28</v>
      </c>
      <c r="F273">
        <v>25</v>
      </c>
      <c r="G273">
        <v>406.78</v>
      </c>
      <c r="H273">
        <v>10169.5</v>
      </c>
      <c r="I273">
        <v>3.8</v>
      </c>
    </row>
    <row r="274" spans="1:9" x14ac:dyDescent="0.35">
      <c r="A274" t="s">
        <v>486</v>
      </c>
      <c r="B274" t="s">
        <v>487</v>
      </c>
      <c r="C274" t="s">
        <v>23</v>
      </c>
      <c r="D274" t="s">
        <v>12</v>
      </c>
      <c r="E274" t="s">
        <v>90</v>
      </c>
      <c r="F274">
        <v>21</v>
      </c>
      <c r="G274">
        <v>1456.04</v>
      </c>
      <c r="H274">
        <v>30576.84</v>
      </c>
      <c r="I274">
        <v>3.7</v>
      </c>
    </row>
    <row r="275" spans="1:9" x14ac:dyDescent="0.35">
      <c r="A275" t="s">
        <v>488</v>
      </c>
      <c r="B275" t="s">
        <v>489</v>
      </c>
      <c r="C275" t="s">
        <v>23</v>
      </c>
      <c r="D275" t="s">
        <v>24</v>
      </c>
      <c r="E275" t="s">
        <v>25</v>
      </c>
      <c r="F275">
        <v>17</v>
      </c>
      <c r="G275">
        <v>1003.09</v>
      </c>
      <c r="H275">
        <v>17052.53</v>
      </c>
      <c r="I275">
        <v>3.9</v>
      </c>
    </row>
    <row r="276" spans="1:9" x14ac:dyDescent="0.35">
      <c r="A276" t="s">
        <v>490</v>
      </c>
      <c r="B276" t="s">
        <v>105</v>
      </c>
      <c r="C276" t="s">
        <v>38</v>
      </c>
      <c r="D276" t="s">
        <v>24</v>
      </c>
      <c r="E276" t="s">
        <v>25</v>
      </c>
      <c r="F276">
        <v>22</v>
      </c>
      <c r="G276">
        <v>446.93</v>
      </c>
      <c r="H276">
        <v>9832.4599999999991</v>
      </c>
      <c r="I276">
        <v>4.8</v>
      </c>
    </row>
    <row r="277" spans="1:9" x14ac:dyDescent="0.35">
      <c r="A277" t="s">
        <v>491</v>
      </c>
      <c r="B277" t="s">
        <v>434</v>
      </c>
      <c r="C277" t="s">
        <v>23</v>
      </c>
      <c r="D277" t="s">
        <v>19</v>
      </c>
      <c r="E277" t="s">
        <v>31</v>
      </c>
      <c r="F277">
        <v>10</v>
      </c>
      <c r="G277">
        <v>214.86</v>
      </c>
      <c r="H277">
        <v>2148.6</v>
      </c>
      <c r="I277">
        <v>4.2</v>
      </c>
    </row>
    <row r="278" spans="1:9" x14ac:dyDescent="0.35">
      <c r="A278" t="s">
        <v>492</v>
      </c>
      <c r="B278" t="s">
        <v>474</v>
      </c>
      <c r="C278" t="s">
        <v>11</v>
      </c>
      <c r="D278" t="s">
        <v>24</v>
      </c>
      <c r="E278" t="s">
        <v>69</v>
      </c>
      <c r="F278">
        <v>16</v>
      </c>
      <c r="G278">
        <v>843.46</v>
      </c>
      <c r="H278">
        <v>13495.36</v>
      </c>
      <c r="I278">
        <v>3.1</v>
      </c>
    </row>
    <row r="279" spans="1:9" x14ac:dyDescent="0.35">
      <c r="A279" t="s">
        <v>493</v>
      </c>
      <c r="B279" t="s">
        <v>171</v>
      </c>
      <c r="C279" t="s">
        <v>23</v>
      </c>
      <c r="D279" t="s">
        <v>19</v>
      </c>
      <c r="E279" t="s">
        <v>28</v>
      </c>
      <c r="F279">
        <v>2</v>
      </c>
      <c r="G279">
        <v>1407.57</v>
      </c>
      <c r="H279">
        <v>2815.14</v>
      </c>
      <c r="I279">
        <v>4.0999999999999996</v>
      </c>
    </row>
    <row r="280" spans="1:9" x14ac:dyDescent="0.35">
      <c r="A280" t="s">
        <v>494</v>
      </c>
      <c r="B280" t="s">
        <v>403</v>
      </c>
      <c r="C280" t="s">
        <v>11</v>
      </c>
      <c r="D280" t="s">
        <v>12</v>
      </c>
      <c r="E280" t="s">
        <v>17</v>
      </c>
      <c r="F280">
        <v>2</v>
      </c>
      <c r="G280">
        <v>119.85</v>
      </c>
      <c r="H280">
        <v>239.7</v>
      </c>
      <c r="I280">
        <v>4.9000000000000004</v>
      </c>
    </row>
    <row r="281" spans="1:9" x14ac:dyDescent="0.35">
      <c r="A281" t="s">
        <v>495</v>
      </c>
      <c r="B281" t="s">
        <v>496</v>
      </c>
      <c r="C281" t="s">
        <v>16</v>
      </c>
      <c r="D281" t="s">
        <v>12</v>
      </c>
      <c r="E281" t="s">
        <v>13</v>
      </c>
      <c r="F281">
        <v>5</v>
      </c>
      <c r="G281">
        <v>11.95</v>
      </c>
      <c r="H281">
        <v>59.75</v>
      </c>
      <c r="I281">
        <v>3.5</v>
      </c>
    </row>
    <row r="282" spans="1:9" x14ac:dyDescent="0.35">
      <c r="A282" t="s">
        <v>497</v>
      </c>
      <c r="B282" t="s">
        <v>498</v>
      </c>
      <c r="C282" t="s">
        <v>11</v>
      </c>
      <c r="D282" t="s">
        <v>19</v>
      </c>
      <c r="E282" t="s">
        <v>31</v>
      </c>
      <c r="F282">
        <v>24</v>
      </c>
      <c r="G282">
        <v>975.92</v>
      </c>
      <c r="H282">
        <v>23422.080000000002</v>
      </c>
      <c r="I282">
        <v>4</v>
      </c>
    </row>
    <row r="283" spans="1:9" x14ac:dyDescent="0.35">
      <c r="A283" t="s">
        <v>499</v>
      </c>
      <c r="B283" t="s">
        <v>78</v>
      </c>
      <c r="C283" t="s">
        <v>38</v>
      </c>
      <c r="D283" t="s">
        <v>19</v>
      </c>
      <c r="E283" t="s">
        <v>20</v>
      </c>
      <c r="F283">
        <v>25</v>
      </c>
      <c r="G283">
        <v>60.85</v>
      </c>
      <c r="H283">
        <v>1521.25</v>
      </c>
      <c r="I283">
        <v>4.0999999999999996</v>
      </c>
    </row>
    <row r="284" spans="1:9" x14ac:dyDescent="0.35">
      <c r="A284" t="s">
        <v>500</v>
      </c>
      <c r="B284" t="s">
        <v>80</v>
      </c>
      <c r="C284" t="s">
        <v>38</v>
      </c>
      <c r="D284" t="s">
        <v>24</v>
      </c>
      <c r="E284" t="s">
        <v>69</v>
      </c>
      <c r="F284">
        <v>11</v>
      </c>
      <c r="G284">
        <v>1250.3</v>
      </c>
      <c r="H284">
        <v>13753.3</v>
      </c>
      <c r="I284">
        <v>4</v>
      </c>
    </row>
    <row r="285" spans="1:9" x14ac:dyDescent="0.35">
      <c r="A285" t="s">
        <v>501</v>
      </c>
      <c r="B285" t="s">
        <v>502</v>
      </c>
      <c r="C285" t="s">
        <v>38</v>
      </c>
      <c r="D285" t="s">
        <v>12</v>
      </c>
      <c r="E285" t="s">
        <v>13</v>
      </c>
      <c r="F285">
        <v>15</v>
      </c>
      <c r="G285">
        <v>5.58</v>
      </c>
      <c r="H285">
        <v>83.7</v>
      </c>
      <c r="I285">
        <v>3.7</v>
      </c>
    </row>
    <row r="286" spans="1:9" x14ac:dyDescent="0.35">
      <c r="A286" t="s">
        <v>503</v>
      </c>
      <c r="B286" t="s">
        <v>504</v>
      </c>
      <c r="C286" t="s">
        <v>11</v>
      </c>
      <c r="D286" t="s">
        <v>24</v>
      </c>
      <c r="E286" t="s">
        <v>69</v>
      </c>
      <c r="F286">
        <v>12</v>
      </c>
      <c r="G286">
        <v>401.69</v>
      </c>
      <c r="H286">
        <v>4820.28</v>
      </c>
      <c r="I286">
        <v>3.6</v>
      </c>
    </row>
    <row r="287" spans="1:9" x14ac:dyDescent="0.35">
      <c r="A287" t="s">
        <v>505</v>
      </c>
      <c r="B287" t="s">
        <v>279</v>
      </c>
      <c r="C287" t="s">
        <v>38</v>
      </c>
      <c r="D287" t="s">
        <v>12</v>
      </c>
      <c r="E287" t="s">
        <v>13</v>
      </c>
      <c r="F287">
        <v>14</v>
      </c>
      <c r="G287">
        <v>476.73</v>
      </c>
      <c r="H287">
        <v>6674.22</v>
      </c>
      <c r="I287">
        <v>3.7</v>
      </c>
    </row>
    <row r="288" spans="1:9" x14ac:dyDescent="0.35">
      <c r="A288" t="s">
        <v>506</v>
      </c>
      <c r="B288" t="s">
        <v>64</v>
      </c>
      <c r="C288" t="s">
        <v>23</v>
      </c>
      <c r="D288" t="s">
        <v>12</v>
      </c>
      <c r="E288" t="s">
        <v>13</v>
      </c>
      <c r="F288">
        <v>8</v>
      </c>
      <c r="G288">
        <v>532.28</v>
      </c>
      <c r="H288">
        <v>4258.24</v>
      </c>
      <c r="I288">
        <v>4.4000000000000004</v>
      </c>
    </row>
    <row r="289" spans="1:9" x14ac:dyDescent="0.35">
      <c r="A289" t="s">
        <v>507</v>
      </c>
      <c r="B289" t="s">
        <v>508</v>
      </c>
      <c r="C289" t="s">
        <v>38</v>
      </c>
      <c r="D289" t="s">
        <v>12</v>
      </c>
      <c r="E289" t="s">
        <v>17</v>
      </c>
      <c r="F289">
        <v>6</v>
      </c>
      <c r="G289">
        <v>840.35</v>
      </c>
      <c r="H289">
        <v>5042.1000000000004</v>
      </c>
      <c r="I289">
        <v>3.7</v>
      </c>
    </row>
    <row r="290" spans="1:9" x14ac:dyDescent="0.35">
      <c r="A290" t="s">
        <v>509</v>
      </c>
      <c r="B290" t="s">
        <v>301</v>
      </c>
      <c r="C290" t="s">
        <v>23</v>
      </c>
      <c r="D290" t="s">
        <v>24</v>
      </c>
      <c r="E290" t="s">
        <v>44</v>
      </c>
      <c r="F290">
        <v>2</v>
      </c>
      <c r="G290">
        <v>771.6</v>
      </c>
      <c r="H290">
        <v>1543.2</v>
      </c>
      <c r="I290">
        <v>4</v>
      </c>
    </row>
    <row r="291" spans="1:9" x14ac:dyDescent="0.35">
      <c r="A291" t="s">
        <v>510</v>
      </c>
      <c r="B291" t="s">
        <v>297</v>
      </c>
      <c r="C291" t="s">
        <v>16</v>
      </c>
      <c r="D291" t="s">
        <v>19</v>
      </c>
      <c r="E291" t="s">
        <v>31</v>
      </c>
      <c r="F291">
        <v>10</v>
      </c>
      <c r="G291">
        <v>276.10000000000002</v>
      </c>
      <c r="H291">
        <v>2761</v>
      </c>
      <c r="I291">
        <v>3</v>
      </c>
    </row>
    <row r="292" spans="1:9" x14ac:dyDescent="0.35">
      <c r="A292" t="s">
        <v>511</v>
      </c>
      <c r="B292" t="s">
        <v>284</v>
      </c>
      <c r="C292" t="s">
        <v>16</v>
      </c>
      <c r="D292" t="s">
        <v>24</v>
      </c>
      <c r="E292" t="s">
        <v>69</v>
      </c>
      <c r="F292">
        <v>5</v>
      </c>
      <c r="G292">
        <v>952.06</v>
      </c>
      <c r="H292">
        <v>4760.3</v>
      </c>
      <c r="I292">
        <v>4.9000000000000004</v>
      </c>
    </row>
    <row r="293" spans="1:9" x14ac:dyDescent="0.35">
      <c r="A293" t="s">
        <v>512</v>
      </c>
      <c r="B293" t="s">
        <v>408</v>
      </c>
      <c r="C293" t="s">
        <v>16</v>
      </c>
      <c r="D293" t="s">
        <v>12</v>
      </c>
      <c r="E293" t="s">
        <v>90</v>
      </c>
      <c r="F293">
        <v>1</v>
      </c>
      <c r="G293">
        <v>788.6</v>
      </c>
      <c r="H293">
        <v>788.6</v>
      </c>
      <c r="I293">
        <v>4.3</v>
      </c>
    </row>
    <row r="294" spans="1:9" x14ac:dyDescent="0.35">
      <c r="A294" t="s">
        <v>513</v>
      </c>
      <c r="B294" t="s">
        <v>514</v>
      </c>
      <c r="C294" t="s">
        <v>11</v>
      </c>
      <c r="D294" t="s">
        <v>12</v>
      </c>
      <c r="E294" t="s">
        <v>13</v>
      </c>
      <c r="F294">
        <v>16</v>
      </c>
      <c r="G294">
        <v>1238.92</v>
      </c>
      <c r="H294">
        <v>19822.72</v>
      </c>
      <c r="I294">
        <v>4.2</v>
      </c>
    </row>
    <row r="295" spans="1:9" x14ac:dyDescent="0.35">
      <c r="A295" t="s">
        <v>515</v>
      </c>
      <c r="B295" t="s">
        <v>516</v>
      </c>
      <c r="C295" t="s">
        <v>11</v>
      </c>
      <c r="D295" t="s">
        <v>19</v>
      </c>
      <c r="E295" t="s">
        <v>31</v>
      </c>
      <c r="F295">
        <v>22</v>
      </c>
      <c r="G295">
        <v>1199.77</v>
      </c>
      <c r="H295">
        <v>26394.94</v>
      </c>
      <c r="I295">
        <v>4.5</v>
      </c>
    </row>
    <row r="296" spans="1:9" x14ac:dyDescent="0.35">
      <c r="A296" t="s">
        <v>517</v>
      </c>
      <c r="B296" t="s">
        <v>345</v>
      </c>
      <c r="C296" t="s">
        <v>11</v>
      </c>
      <c r="D296" t="s">
        <v>24</v>
      </c>
      <c r="E296" t="s">
        <v>69</v>
      </c>
      <c r="F296">
        <v>24</v>
      </c>
      <c r="G296">
        <v>1164.3699999999999</v>
      </c>
      <c r="H296">
        <v>27944.880000000001</v>
      </c>
      <c r="I296">
        <v>3.5</v>
      </c>
    </row>
    <row r="297" spans="1:9" x14ac:dyDescent="0.35">
      <c r="A297" t="s">
        <v>518</v>
      </c>
      <c r="B297" t="s">
        <v>519</v>
      </c>
      <c r="C297" t="s">
        <v>11</v>
      </c>
      <c r="D297" t="s">
        <v>19</v>
      </c>
      <c r="E297" t="s">
        <v>28</v>
      </c>
      <c r="F297">
        <v>6</v>
      </c>
      <c r="G297">
        <v>74.84</v>
      </c>
      <c r="H297">
        <v>449.04</v>
      </c>
      <c r="I297">
        <v>4.9000000000000004</v>
      </c>
    </row>
    <row r="298" spans="1:9" x14ac:dyDescent="0.35">
      <c r="A298" t="s">
        <v>520</v>
      </c>
      <c r="B298" t="s">
        <v>241</v>
      </c>
      <c r="C298" t="s">
        <v>23</v>
      </c>
      <c r="D298" t="s">
        <v>19</v>
      </c>
      <c r="E298" t="s">
        <v>20</v>
      </c>
      <c r="F298">
        <v>14</v>
      </c>
      <c r="G298">
        <v>146.1</v>
      </c>
      <c r="H298">
        <v>2045.4</v>
      </c>
      <c r="I298">
        <v>3.3</v>
      </c>
    </row>
    <row r="299" spans="1:9" x14ac:dyDescent="0.35">
      <c r="A299" t="s">
        <v>521</v>
      </c>
      <c r="B299" t="s">
        <v>198</v>
      </c>
      <c r="C299" t="s">
        <v>23</v>
      </c>
      <c r="D299" t="s">
        <v>24</v>
      </c>
      <c r="E299" t="s">
        <v>25</v>
      </c>
      <c r="F299">
        <v>11</v>
      </c>
      <c r="G299">
        <v>318.83999999999997</v>
      </c>
      <c r="H299">
        <v>3507.24</v>
      </c>
      <c r="I299">
        <v>4.3</v>
      </c>
    </row>
    <row r="300" spans="1:9" x14ac:dyDescent="0.35">
      <c r="A300" t="s">
        <v>522</v>
      </c>
      <c r="B300" t="s">
        <v>523</v>
      </c>
      <c r="C300" t="s">
        <v>23</v>
      </c>
      <c r="D300" t="s">
        <v>19</v>
      </c>
      <c r="E300" t="s">
        <v>20</v>
      </c>
      <c r="F300">
        <v>13</v>
      </c>
      <c r="G300">
        <v>334.9</v>
      </c>
      <c r="H300">
        <v>4353.7</v>
      </c>
      <c r="I300">
        <v>4.9000000000000004</v>
      </c>
    </row>
    <row r="301" spans="1:9" x14ac:dyDescent="0.35">
      <c r="A301" t="s">
        <v>524</v>
      </c>
      <c r="B301" t="s">
        <v>525</v>
      </c>
      <c r="C301" t="s">
        <v>11</v>
      </c>
      <c r="D301" t="s">
        <v>24</v>
      </c>
      <c r="E301" t="s">
        <v>44</v>
      </c>
      <c r="F301">
        <v>7</v>
      </c>
      <c r="G301">
        <v>896.55</v>
      </c>
      <c r="H301">
        <v>6275.85</v>
      </c>
      <c r="I301">
        <v>3.8</v>
      </c>
    </row>
    <row r="302" spans="1:9" x14ac:dyDescent="0.35">
      <c r="A302" t="s">
        <v>526</v>
      </c>
      <c r="B302" t="s">
        <v>474</v>
      </c>
      <c r="C302" t="s">
        <v>16</v>
      </c>
      <c r="D302" t="s">
        <v>24</v>
      </c>
      <c r="E302" t="s">
        <v>44</v>
      </c>
      <c r="F302">
        <v>21</v>
      </c>
      <c r="G302">
        <v>1045.2</v>
      </c>
      <c r="H302">
        <v>21949.200000000001</v>
      </c>
      <c r="I302">
        <v>4.0999999999999996</v>
      </c>
    </row>
    <row r="303" spans="1:9" x14ac:dyDescent="0.35">
      <c r="A303" t="s">
        <v>527</v>
      </c>
      <c r="B303" t="s">
        <v>22</v>
      </c>
      <c r="C303" t="s">
        <v>16</v>
      </c>
      <c r="D303" t="s">
        <v>24</v>
      </c>
      <c r="E303" t="s">
        <v>25</v>
      </c>
      <c r="F303">
        <v>16</v>
      </c>
      <c r="G303">
        <v>671.09</v>
      </c>
      <c r="H303">
        <v>10737.44</v>
      </c>
      <c r="I303">
        <v>3.7</v>
      </c>
    </row>
    <row r="304" spans="1:9" x14ac:dyDescent="0.35">
      <c r="A304" t="s">
        <v>528</v>
      </c>
      <c r="B304" t="s">
        <v>52</v>
      </c>
      <c r="C304" t="s">
        <v>11</v>
      </c>
      <c r="D304" t="s">
        <v>24</v>
      </c>
      <c r="E304" t="s">
        <v>25</v>
      </c>
      <c r="F304">
        <v>24</v>
      </c>
      <c r="G304">
        <v>736.19</v>
      </c>
      <c r="H304">
        <v>17668.560000000001</v>
      </c>
      <c r="I304">
        <v>4.8</v>
      </c>
    </row>
    <row r="305" spans="1:9" x14ac:dyDescent="0.35">
      <c r="A305" t="s">
        <v>529</v>
      </c>
      <c r="B305" t="s">
        <v>530</v>
      </c>
      <c r="C305" t="s">
        <v>23</v>
      </c>
      <c r="D305" t="s">
        <v>12</v>
      </c>
      <c r="E305" t="s">
        <v>17</v>
      </c>
      <c r="F305">
        <v>23</v>
      </c>
      <c r="G305">
        <v>125.59</v>
      </c>
      <c r="H305">
        <v>2888.57</v>
      </c>
      <c r="I305">
        <v>3.8</v>
      </c>
    </row>
    <row r="306" spans="1:9" x14ac:dyDescent="0.35">
      <c r="A306" t="s">
        <v>531</v>
      </c>
      <c r="B306" t="s">
        <v>532</v>
      </c>
      <c r="C306" t="s">
        <v>23</v>
      </c>
      <c r="D306" t="s">
        <v>12</v>
      </c>
      <c r="E306" t="s">
        <v>90</v>
      </c>
      <c r="F306">
        <v>9</v>
      </c>
      <c r="G306">
        <v>1311.44</v>
      </c>
      <c r="H306">
        <v>11802.96</v>
      </c>
      <c r="I306">
        <v>4.4000000000000004</v>
      </c>
    </row>
    <row r="307" spans="1:9" x14ac:dyDescent="0.35">
      <c r="A307" t="s">
        <v>533</v>
      </c>
      <c r="B307" t="s">
        <v>534</v>
      </c>
      <c r="C307" t="s">
        <v>23</v>
      </c>
      <c r="D307" t="s">
        <v>19</v>
      </c>
      <c r="E307" t="s">
        <v>28</v>
      </c>
      <c r="F307">
        <v>6</v>
      </c>
      <c r="G307">
        <v>432.03</v>
      </c>
      <c r="H307">
        <v>2592.1799999999998</v>
      </c>
      <c r="I307">
        <v>4.7</v>
      </c>
    </row>
    <row r="308" spans="1:9" x14ac:dyDescent="0.35">
      <c r="A308" t="s">
        <v>535</v>
      </c>
      <c r="B308" t="s">
        <v>536</v>
      </c>
      <c r="C308" t="s">
        <v>11</v>
      </c>
      <c r="D308" t="s">
        <v>24</v>
      </c>
      <c r="E308" t="s">
        <v>44</v>
      </c>
      <c r="F308">
        <v>4</v>
      </c>
      <c r="G308">
        <v>1097.44</v>
      </c>
      <c r="H308">
        <v>4389.76</v>
      </c>
      <c r="I308">
        <v>3.3</v>
      </c>
    </row>
    <row r="309" spans="1:9" x14ac:dyDescent="0.35">
      <c r="A309" t="s">
        <v>537</v>
      </c>
      <c r="B309" t="s">
        <v>536</v>
      </c>
      <c r="C309" t="s">
        <v>38</v>
      </c>
      <c r="D309" t="s">
        <v>12</v>
      </c>
      <c r="E309" t="s">
        <v>17</v>
      </c>
      <c r="F309">
        <v>1</v>
      </c>
      <c r="G309">
        <v>303.75</v>
      </c>
      <c r="H309">
        <v>303.75</v>
      </c>
      <c r="I309">
        <v>4.0999999999999996</v>
      </c>
    </row>
    <row r="310" spans="1:9" x14ac:dyDescent="0.35">
      <c r="A310" t="s">
        <v>538</v>
      </c>
      <c r="B310" t="s">
        <v>64</v>
      </c>
      <c r="C310" t="s">
        <v>16</v>
      </c>
      <c r="D310" t="s">
        <v>19</v>
      </c>
      <c r="E310" t="s">
        <v>31</v>
      </c>
      <c r="F310">
        <v>2</v>
      </c>
      <c r="G310">
        <v>132.80000000000001</v>
      </c>
      <c r="H310">
        <v>265.60000000000002</v>
      </c>
      <c r="I310">
        <v>3.3</v>
      </c>
    </row>
    <row r="311" spans="1:9" x14ac:dyDescent="0.35">
      <c r="A311" t="s">
        <v>539</v>
      </c>
      <c r="B311" t="s">
        <v>540</v>
      </c>
      <c r="C311" t="s">
        <v>11</v>
      </c>
      <c r="D311" t="s">
        <v>19</v>
      </c>
      <c r="E311" t="s">
        <v>31</v>
      </c>
      <c r="F311">
        <v>16</v>
      </c>
      <c r="G311">
        <v>1391.86</v>
      </c>
      <c r="H311">
        <v>22269.759999999998</v>
      </c>
      <c r="I311">
        <v>4.2</v>
      </c>
    </row>
    <row r="312" spans="1:9" x14ac:dyDescent="0.35">
      <c r="A312" t="s">
        <v>541</v>
      </c>
      <c r="B312" t="s">
        <v>321</v>
      </c>
      <c r="C312" t="s">
        <v>23</v>
      </c>
      <c r="D312" t="s">
        <v>24</v>
      </c>
      <c r="E312" t="s">
        <v>25</v>
      </c>
      <c r="F312">
        <v>19</v>
      </c>
      <c r="G312">
        <v>363.58</v>
      </c>
      <c r="H312">
        <v>6908.02</v>
      </c>
      <c r="I312">
        <v>3.2</v>
      </c>
    </row>
    <row r="313" spans="1:9" x14ac:dyDescent="0.35">
      <c r="A313" t="s">
        <v>542</v>
      </c>
      <c r="B313" t="s">
        <v>543</v>
      </c>
      <c r="C313" t="s">
        <v>11</v>
      </c>
      <c r="D313" t="s">
        <v>24</v>
      </c>
      <c r="E313" t="s">
        <v>25</v>
      </c>
      <c r="F313">
        <v>7</v>
      </c>
      <c r="G313">
        <v>902.47</v>
      </c>
      <c r="H313">
        <v>6317.29</v>
      </c>
      <c r="I313">
        <v>3.4</v>
      </c>
    </row>
    <row r="314" spans="1:9" x14ac:dyDescent="0.35">
      <c r="A314" t="s">
        <v>544</v>
      </c>
      <c r="B314" t="s">
        <v>159</v>
      </c>
      <c r="C314" t="s">
        <v>16</v>
      </c>
      <c r="D314" t="s">
        <v>19</v>
      </c>
      <c r="E314" t="s">
        <v>20</v>
      </c>
      <c r="F314">
        <v>14</v>
      </c>
      <c r="G314">
        <v>1472.61</v>
      </c>
      <c r="H314">
        <v>20616.54</v>
      </c>
      <c r="I314">
        <v>3.9</v>
      </c>
    </row>
    <row r="315" spans="1:9" x14ac:dyDescent="0.35">
      <c r="A315" t="s">
        <v>545</v>
      </c>
      <c r="B315" t="s">
        <v>546</v>
      </c>
      <c r="C315" t="s">
        <v>38</v>
      </c>
      <c r="D315" t="s">
        <v>19</v>
      </c>
      <c r="E315" t="s">
        <v>28</v>
      </c>
      <c r="F315">
        <v>4</v>
      </c>
      <c r="G315">
        <v>653.47</v>
      </c>
      <c r="H315">
        <v>2613.88</v>
      </c>
      <c r="I315">
        <v>3.1</v>
      </c>
    </row>
    <row r="316" spans="1:9" x14ac:dyDescent="0.35">
      <c r="A316" t="s">
        <v>547</v>
      </c>
      <c r="B316" t="s">
        <v>447</v>
      </c>
      <c r="C316" t="s">
        <v>38</v>
      </c>
      <c r="D316" t="s">
        <v>12</v>
      </c>
      <c r="E316" t="s">
        <v>17</v>
      </c>
      <c r="F316">
        <v>4</v>
      </c>
      <c r="G316">
        <v>116.51</v>
      </c>
      <c r="H316">
        <v>466.04</v>
      </c>
      <c r="I316">
        <v>3.6</v>
      </c>
    </row>
    <row r="317" spans="1:9" x14ac:dyDescent="0.35">
      <c r="A317" t="s">
        <v>548</v>
      </c>
      <c r="B317" t="s">
        <v>549</v>
      </c>
      <c r="C317" t="s">
        <v>11</v>
      </c>
      <c r="D317" t="s">
        <v>24</v>
      </c>
      <c r="E317" t="s">
        <v>44</v>
      </c>
      <c r="F317">
        <v>22</v>
      </c>
      <c r="G317">
        <v>917.82</v>
      </c>
      <c r="H317">
        <v>20192.04</v>
      </c>
      <c r="I317">
        <v>3.2</v>
      </c>
    </row>
    <row r="318" spans="1:9" x14ac:dyDescent="0.35">
      <c r="A318" t="s">
        <v>550</v>
      </c>
      <c r="B318" t="s">
        <v>122</v>
      </c>
      <c r="C318" t="s">
        <v>11</v>
      </c>
      <c r="D318" t="s">
        <v>19</v>
      </c>
      <c r="E318" t="s">
        <v>31</v>
      </c>
      <c r="F318">
        <v>16</v>
      </c>
      <c r="G318">
        <v>1482.59</v>
      </c>
      <c r="H318">
        <v>23721.439999999999</v>
      </c>
      <c r="I318">
        <v>4.0999999999999996</v>
      </c>
    </row>
    <row r="319" spans="1:9" x14ac:dyDescent="0.35">
      <c r="A319" t="s">
        <v>551</v>
      </c>
      <c r="B319" t="s">
        <v>390</v>
      </c>
      <c r="C319" t="s">
        <v>11</v>
      </c>
      <c r="D319" t="s">
        <v>19</v>
      </c>
      <c r="E319" t="s">
        <v>28</v>
      </c>
      <c r="F319">
        <v>5</v>
      </c>
      <c r="G319">
        <v>932.42</v>
      </c>
      <c r="H319">
        <v>4662.1000000000004</v>
      </c>
      <c r="I319">
        <v>3.7</v>
      </c>
    </row>
    <row r="320" spans="1:9" x14ac:dyDescent="0.35">
      <c r="A320" t="s">
        <v>552</v>
      </c>
      <c r="B320" t="s">
        <v>259</v>
      </c>
      <c r="C320" t="s">
        <v>16</v>
      </c>
      <c r="D320" t="s">
        <v>19</v>
      </c>
      <c r="E320" t="s">
        <v>31</v>
      </c>
      <c r="F320">
        <v>22</v>
      </c>
      <c r="G320">
        <v>154.9</v>
      </c>
      <c r="H320">
        <v>3407.8</v>
      </c>
      <c r="I320">
        <v>3.8</v>
      </c>
    </row>
    <row r="321" spans="1:9" x14ac:dyDescent="0.35">
      <c r="A321" t="s">
        <v>553</v>
      </c>
      <c r="B321" t="s">
        <v>239</v>
      </c>
      <c r="C321" t="s">
        <v>16</v>
      </c>
      <c r="D321" t="s">
        <v>12</v>
      </c>
      <c r="E321" t="s">
        <v>90</v>
      </c>
      <c r="F321">
        <v>5</v>
      </c>
      <c r="G321">
        <v>1303.3699999999999</v>
      </c>
      <c r="H321">
        <v>6516.85</v>
      </c>
      <c r="I321">
        <v>4.2</v>
      </c>
    </row>
    <row r="322" spans="1:9" x14ac:dyDescent="0.35">
      <c r="A322" t="s">
        <v>554</v>
      </c>
      <c r="B322" t="s">
        <v>62</v>
      </c>
      <c r="C322" t="s">
        <v>38</v>
      </c>
      <c r="D322" t="s">
        <v>24</v>
      </c>
      <c r="E322" t="s">
        <v>44</v>
      </c>
      <c r="F322">
        <v>20</v>
      </c>
      <c r="G322">
        <v>1375.2</v>
      </c>
      <c r="H322">
        <v>27504</v>
      </c>
      <c r="I322">
        <v>4.9000000000000004</v>
      </c>
    </row>
    <row r="323" spans="1:9" x14ac:dyDescent="0.35">
      <c r="A323" t="s">
        <v>555</v>
      </c>
      <c r="B323" t="s">
        <v>556</v>
      </c>
      <c r="C323" t="s">
        <v>38</v>
      </c>
      <c r="D323" t="s">
        <v>19</v>
      </c>
      <c r="E323" t="s">
        <v>28</v>
      </c>
      <c r="F323">
        <v>15</v>
      </c>
      <c r="G323">
        <v>1229.04</v>
      </c>
      <c r="H323">
        <v>18435.599999999999</v>
      </c>
      <c r="I323">
        <v>3.4</v>
      </c>
    </row>
    <row r="324" spans="1:9" x14ac:dyDescent="0.35">
      <c r="A324" t="s">
        <v>557</v>
      </c>
      <c r="B324" t="s">
        <v>558</v>
      </c>
      <c r="C324" t="s">
        <v>16</v>
      </c>
      <c r="D324" t="s">
        <v>24</v>
      </c>
      <c r="E324" t="s">
        <v>69</v>
      </c>
      <c r="F324">
        <v>24</v>
      </c>
      <c r="G324">
        <v>1317.58</v>
      </c>
      <c r="H324">
        <v>31621.919999999998</v>
      </c>
      <c r="I324">
        <v>3.5</v>
      </c>
    </row>
    <row r="325" spans="1:9" x14ac:dyDescent="0.35">
      <c r="A325" t="s">
        <v>559</v>
      </c>
      <c r="B325" t="s">
        <v>118</v>
      </c>
      <c r="C325" t="s">
        <v>38</v>
      </c>
      <c r="D325" t="s">
        <v>12</v>
      </c>
      <c r="E325" t="s">
        <v>13</v>
      </c>
      <c r="F325">
        <v>14</v>
      </c>
      <c r="G325">
        <v>829.2</v>
      </c>
      <c r="H325">
        <v>11608.8</v>
      </c>
      <c r="I325">
        <v>3.6</v>
      </c>
    </row>
    <row r="326" spans="1:9" x14ac:dyDescent="0.35">
      <c r="A326" t="s">
        <v>560</v>
      </c>
      <c r="B326" t="s">
        <v>436</v>
      </c>
      <c r="C326" t="s">
        <v>11</v>
      </c>
      <c r="D326" t="s">
        <v>12</v>
      </c>
      <c r="E326" t="s">
        <v>90</v>
      </c>
      <c r="F326">
        <v>18</v>
      </c>
      <c r="G326">
        <v>1149.1099999999999</v>
      </c>
      <c r="H326">
        <v>20683.98</v>
      </c>
      <c r="I326">
        <v>4</v>
      </c>
    </row>
    <row r="327" spans="1:9" x14ac:dyDescent="0.35">
      <c r="A327" t="s">
        <v>561</v>
      </c>
      <c r="B327" t="s">
        <v>562</v>
      </c>
      <c r="C327" t="s">
        <v>38</v>
      </c>
      <c r="D327" t="s">
        <v>24</v>
      </c>
      <c r="E327" t="s">
        <v>44</v>
      </c>
      <c r="F327">
        <v>20</v>
      </c>
      <c r="G327">
        <v>1292.96</v>
      </c>
      <c r="H327">
        <v>25859.200000000001</v>
      </c>
      <c r="I327">
        <v>4.3</v>
      </c>
    </row>
    <row r="328" spans="1:9" x14ac:dyDescent="0.35">
      <c r="A328" t="s">
        <v>563</v>
      </c>
      <c r="B328" t="s">
        <v>403</v>
      </c>
      <c r="C328" t="s">
        <v>16</v>
      </c>
      <c r="D328" t="s">
        <v>12</v>
      </c>
      <c r="E328" t="s">
        <v>13</v>
      </c>
      <c r="F328">
        <v>22</v>
      </c>
      <c r="G328">
        <v>659.2</v>
      </c>
      <c r="H328">
        <v>14502.4</v>
      </c>
      <c r="I328">
        <v>4</v>
      </c>
    </row>
    <row r="329" spans="1:9" x14ac:dyDescent="0.35">
      <c r="A329" t="s">
        <v>564</v>
      </c>
      <c r="B329" t="s">
        <v>565</v>
      </c>
      <c r="C329" t="s">
        <v>23</v>
      </c>
      <c r="D329" t="s">
        <v>24</v>
      </c>
      <c r="E329" t="s">
        <v>44</v>
      </c>
      <c r="F329">
        <v>21</v>
      </c>
      <c r="G329">
        <v>1014.3</v>
      </c>
      <c r="H329">
        <v>21300.3</v>
      </c>
      <c r="I329">
        <v>3</v>
      </c>
    </row>
    <row r="330" spans="1:9" x14ac:dyDescent="0.35">
      <c r="A330" t="s">
        <v>566</v>
      </c>
      <c r="B330" t="s">
        <v>567</v>
      </c>
      <c r="C330" t="s">
        <v>38</v>
      </c>
      <c r="D330" t="s">
        <v>24</v>
      </c>
      <c r="E330" t="s">
        <v>69</v>
      </c>
      <c r="F330">
        <v>3</v>
      </c>
      <c r="G330">
        <v>1454.74</v>
      </c>
      <c r="H330">
        <v>4364.22</v>
      </c>
      <c r="I330">
        <v>3.3</v>
      </c>
    </row>
    <row r="331" spans="1:9" x14ac:dyDescent="0.35">
      <c r="A331" t="s">
        <v>568</v>
      </c>
      <c r="B331" t="s">
        <v>569</v>
      </c>
      <c r="C331" t="s">
        <v>38</v>
      </c>
      <c r="D331" t="s">
        <v>19</v>
      </c>
      <c r="E331" t="s">
        <v>20</v>
      </c>
      <c r="F331">
        <v>11</v>
      </c>
      <c r="G331">
        <v>626.17999999999995</v>
      </c>
      <c r="H331">
        <v>6887.98</v>
      </c>
      <c r="I331">
        <v>3.9</v>
      </c>
    </row>
    <row r="332" spans="1:9" x14ac:dyDescent="0.35">
      <c r="A332" t="s">
        <v>570</v>
      </c>
      <c r="B332" t="s">
        <v>207</v>
      </c>
      <c r="C332" t="s">
        <v>38</v>
      </c>
      <c r="D332" t="s">
        <v>12</v>
      </c>
      <c r="E332" t="s">
        <v>13</v>
      </c>
      <c r="F332">
        <v>18</v>
      </c>
      <c r="G332">
        <v>1191.29</v>
      </c>
      <c r="H332">
        <v>21443.22</v>
      </c>
      <c r="I332">
        <v>4.0999999999999996</v>
      </c>
    </row>
    <row r="333" spans="1:9" x14ac:dyDescent="0.35">
      <c r="A333" t="s">
        <v>571</v>
      </c>
      <c r="B333" t="s">
        <v>572</v>
      </c>
      <c r="C333" t="s">
        <v>23</v>
      </c>
      <c r="D333" t="s">
        <v>24</v>
      </c>
      <c r="E333" t="s">
        <v>44</v>
      </c>
      <c r="F333">
        <v>14</v>
      </c>
      <c r="G333">
        <v>234.57</v>
      </c>
      <c r="H333">
        <v>3283.98</v>
      </c>
      <c r="I333">
        <v>3.8</v>
      </c>
    </row>
    <row r="334" spans="1:9" x14ac:dyDescent="0.35">
      <c r="A334" t="s">
        <v>573</v>
      </c>
      <c r="B334" t="s">
        <v>574</v>
      </c>
      <c r="C334" t="s">
        <v>23</v>
      </c>
      <c r="D334" t="s">
        <v>19</v>
      </c>
      <c r="E334" t="s">
        <v>28</v>
      </c>
      <c r="F334">
        <v>17</v>
      </c>
      <c r="G334">
        <v>852.79</v>
      </c>
      <c r="H334">
        <v>14497.43</v>
      </c>
      <c r="I334">
        <v>4</v>
      </c>
    </row>
    <row r="335" spans="1:9" x14ac:dyDescent="0.35">
      <c r="A335" t="s">
        <v>575</v>
      </c>
      <c r="B335" t="s">
        <v>576</v>
      </c>
      <c r="C335" t="s">
        <v>11</v>
      </c>
      <c r="D335" t="s">
        <v>19</v>
      </c>
      <c r="E335" t="s">
        <v>31</v>
      </c>
      <c r="F335">
        <v>9</v>
      </c>
      <c r="G335">
        <v>289.94</v>
      </c>
      <c r="H335">
        <v>2609.46</v>
      </c>
      <c r="I335">
        <v>4.2</v>
      </c>
    </row>
    <row r="336" spans="1:9" x14ac:dyDescent="0.35">
      <c r="A336" t="s">
        <v>577</v>
      </c>
      <c r="B336" t="s">
        <v>578</v>
      </c>
      <c r="C336" t="s">
        <v>16</v>
      </c>
      <c r="D336" t="s">
        <v>12</v>
      </c>
      <c r="E336" t="s">
        <v>90</v>
      </c>
      <c r="F336">
        <v>3</v>
      </c>
      <c r="G336">
        <v>1329.81</v>
      </c>
      <c r="H336">
        <v>3989.43</v>
      </c>
      <c r="I336">
        <v>3.8</v>
      </c>
    </row>
    <row r="337" spans="1:9" x14ac:dyDescent="0.35">
      <c r="A337" t="s">
        <v>579</v>
      </c>
      <c r="B337" t="s">
        <v>223</v>
      </c>
      <c r="C337" t="s">
        <v>11</v>
      </c>
      <c r="D337" t="s">
        <v>24</v>
      </c>
      <c r="E337" t="s">
        <v>25</v>
      </c>
      <c r="F337">
        <v>22</v>
      </c>
      <c r="G337">
        <v>645.72</v>
      </c>
      <c r="H337">
        <v>14205.84</v>
      </c>
      <c r="I337">
        <v>3.1</v>
      </c>
    </row>
    <row r="338" spans="1:9" x14ac:dyDescent="0.35">
      <c r="A338" t="s">
        <v>580</v>
      </c>
      <c r="B338" t="s">
        <v>581</v>
      </c>
      <c r="C338" t="s">
        <v>23</v>
      </c>
      <c r="D338" t="s">
        <v>24</v>
      </c>
      <c r="E338" t="s">
        <v>44</v>
      </c>
      <c r="F338">
        <v>13</v>
      </c>
      <c r="G338">
        <v>716.05</v>
      </c>
      <c r="H338">
        <v>9308.65</v>
      </c>
      <c r="I338">
        <v>3.7</v>
      </c>
    </row>
    <row r="339" spans="1:9" x14ac:dyDescent="0.35">
      <c r="A339" t="s">
        <v>582</v>
      </c>
      <c r="B339" t="s">
        <v>583</v>
      </c>
      <c r="C339" t="s">
        <v>23</v>
      </c>
      <c r="D339" t="s">
        <v>19</v>
      </c>
      <c r="E339" t="s">
        <v>31</v>
      </c>
      <c r="F339">
        <v>19</v>
      </c>
      <c r="G339">
        <v>1078.3599999999999</v>
      </c>
      <c r="H339">
        <v>20488.84</v>
      </c>
      <c r="I339">
        <v>3.6</v>
      </c>
    </row>
    <row r="340" spans="1:9" x14ac:dyDescent="0.35">
      <c r="A340" t="s">
        <v>584</v>
      </c>
      <c r="B340" t="s">
        <v>315</v>
      </c>
      <c r="C340" t="s">
        <v>23</v>
      </c>
      <c r="D340" t="s">
        <v>12</v>
      </c>
      <c r="E340" t="s">
        <v>17</v>
      </c>
      <c r="F340">
        <v>21</v>
      </c>
      <c r="G340">
        <v>242.67</v>
      </c>
      <c r="H340">
        <v>5096.07</v>
      </c>
      <c r="I340">
        <v>3.3</v>
      </c>
    </row>
    <row r="341" spans="1:9" x14ac:dyDescent="0.35">
      <c r="A341" t="s">
        <v>585</v>
      </c>
      <c r="B341" t="s">
        <v>237</v>
      </c>
      <c r="C341" t="s">
        <v>38</v>
      </c>
      <c r="D341" t="s">
        <v>19</v>
      </c>
      <c r="E341" t="s">
        <v>31</v>
      </c>
      <c r="F341">
        <v>1</v>
      </c>
      <c r="G341">
        <v>1357.15</v>
      </c>
      <c r="H341">
        <v>1357.15</v>
      </c>
      <c r="I341">
        <v>4.0999999999999996</v>
      </c>
    </row>
    <row r="342" spans="1:9" x14ac:dyDescent="0.35">
      <c r="A342" t="s">
        <v>586</v>
      </c>
      <c r="B342" t="s">
        <v>122</v>
      </c>
      <c r="C342" t="s">
        <v>11</v>
      </c>
      <c r="D342" t="s">
        <v>19</v>
      </c>
      <c r="E342" t="s">
        <v>31</v>
      </c>
      <c r="F342">
        <v>15</v>
      </c>
      <c r="G342">
        <v>1455.24</v>
      </c>
      <c r="H342">
        <v>21828.6</v>
      </c>
      <c r="I342">
        <v>3.3</v>
      </c>
    </row>
    <row r="343" spans="1:9" x14ac:dyDescent="0.35">
      <c r="A343" t="s">
        <v>587</v>
      </c>
      <c r="B343" t="s">
        <v>470</v>
      </c>
      <c r="C343" t="s">
        <v>11</v>
      </c>
      <c r="D343" t="s">
        <v>19</v>
      </c>
      <c r="E343" t="s">
        <v>28</v>
      </c>
      <c r="F343">
        <v>1</v>
      </c>
      <c r="G343">
        <v>70.010000000000005</v>
      </c>
      <c r="H343">
        <v>70.010000000000005</v>
      </c>
      <c r="I343">
        <v>3.6</v>
      </c>
    </row>
    <row r="344" spans="1:9" x14ac:dyDescent="0.35">
      <c r="A344" t="s">
        <v>588</v>
      </c>
      <c r="B344" t="s">
        <v>534</v>
      </c>
      <c r="C344" t="s">
        <v>16</v>
      </c>
      <c r="D344" t="s">
        <v>24</v>
      </c>
      <c r="E344" t="s">
        <v>44</v>
      </c>
      <c r="F344">
        <v>24</v>
      </c>
      <c r="G344">
        <v>1039.23</v>
      </c>
      <c r="H344">
        <v>24941.52</v>
      </c>
      <c r="I344">
        <v>3.4</v>
      </c>
    </row>
    <row r="345" spans="1:9" x14ac:dyDescent="0.35">
      <c r="A345" t="s">
        <v>589</v>
      </c>
      <c r="B345" t="s">
        <v>590</v>
      </c>
      <c r="C345" t="s">
        <v>11</v>
      </c>
      <c r="D345" t="s">
        <v>24</v>
      </c>
      <c r="E345" t="s">
        <v>69</v>
      </c>
      <c r="F345">
        <v>15</v>
      </c>
      <c r="G345">
        <v>745.83</v>
      </c>
      <c r="H345">
        <v>11187.45</v>
      </c>
      <c r="I345">
        <v>3.6</v>
      </c>
    </row>
    <row r="346" spans="1:9" x14ac:dyDescent="0.35">
      <c r="A346" t="s">
        <v>591</v>
      </c>
      <c r="B346" t="s">
        <v>592</v>
      </c>
      <c r="C346" t="s">
        <v>16</v>
      </c>
      <c r="D346" t="s">
        <v>12</v>
      </c>
      <c r="E346" t="s">
        <v>90</v>
      </c>
      <c r="F346">
        <v>3</v>
      </c>
      <c r="G346">
        <v>226.05</v>
      </c>
      <c r="H346">
        <v>678.15</v>
      </c>
      <c r="I346">
        <v>4.0999999999999996</v>
      </c>
    </row>
    <row r="347" spans="1:9" x14ac:dyDescent="0.35">
      <c r="A347" t="s">
        <v>593</v>
      </c>
      <c r="B347" t="s">
        <v>167</v>
      </c>
      <c r="C347" t="s">
        <v>11</v>
      </c>
      <c r="D347" t="s">
        <v>24</v>
      </c>
      <c r="E347" t="s">
        <v>44</v>
      </c>
      <c r="F347">
        <v>5</v>
      </c>
      <c r="G347">
        <v>835.47</v>
      </c>
      <c r="H347">
        <v>4177.3500000000004</v>
      </c>
      <c r="I347">
        <v>4.9000000000000004</v>
      </c>
    </row>
    <row r="348" spans="1:9" x14ac:dyDescent="0.35">
      <c r="A348" t="s">
        <v>594</v>
      </c>
      <c r="B348" t="s">
        <v>225</v>
      </c>
      <c r="C348" t="s">
        <v>11</v>
      </c>
      <c r="D348" t="s">
        <v>12</v>
      </c>
      <c r="E348" t="s">
        <v>13</v>
      </c>
      <c r="F348">
        <v>18</v>
      </c>
      <c r="G348">
        <v>110.47</v>
      </c>
      <c r="H348">
        <v>1988.46</v>
      </c>
      <c r="I348">
        <v>4.9000000000000004</v>
      </c>
    </row>
    <row r="349" spans="1:9" x14ac:dyDescent="0.35">
      <c r="A349" t="s">
        <v>595</v>
      </c>
      <c r="B349" t="s">
        <v>581</v>
      </c>
      <c r="C349" t="s">
        <v>11</v>
      </c>
      <c r="D349" t="s">
        <v>24</v>
      </c>
      <c r="E349" t="s">
        <v>69</v>
      </c>
      <c r="F349">
        <v>5</v>
      </c>
      <c r="G349">
        <v>7.16</v>
      </c>
      <c r="H349">
        <v>35.799999999999997</v>
      </c>
      <c r="I349">
        <v>3.5</v>
      </c>
    </row>
    <row r="350" spans="1:9" x14ac:dyDescent="0.35">
      <c r="A350" t="s">
        <v>596</v>
      </c>
      <c r="B350" t="s">
        <v>597</v>
      </c>
      <c r="C350" t="s">
        <v>23</v>
      </c>
      <c r="D350" t="s">
        <v>24</v>
      </c>
      <c r="E350" t="s">
        <v>44</v>
      </c>
      <c r="F350">
        <v>17</v>
      </c>
      <c r="G350">
        <v>764.42</v>
      </c>
      <c r="H350">
        <v>12995.14</v>
      </c>
      <c r="I350">
        <v>4.5999999999999996</v>
      </c>
    </row>
    <row r="351" spans="1:9" x14ac:dyDescent="0.35">
      <c r="A351" t="s">
        <v>598</v>
      </c>
      <c r="B351" t="s">
        <v>599</v>
      </c>
      <c r="C351" t="s">
        <v>38</v>
      </c>
      <c r="D351" t="s">
        <v>19</v>
      </c>
      <c r="E351" t="s">
        <v>20</v>
      </c>
      <c r="F351">
        <v>25</v>
      </c>
      <c r="G351">
        <v>931.87</v>
      </c>
      <c r="H351">
        <v>23296.75</v>
      </c>
      <c r="I351">
        <v>3.6</v>
      </c>
    </row>
    <row r="352" spans="1:9" x14ac:dyDescent="0.35">
      <c r="A352" t="s">
        <v>600</v>
      </c>
      <c r="B352" t="s">
        <v>601</v>
      </c>
      <c r="C352" t="s">
        <v>38</v>
      </c>
      <c r="D352" t="s">
        <v>24</v>
      </c>
      <c r="E352" t="s">
        <v>25</v>
      </c>
      <c r="F352">
        <v>19</v>
      </c>
      <c r="G352">
        <v>1240.25</v>
      </c>
      <c r="H352">
        <v>23564.75</v>
      </c>
      <c r="I352">
        <v>3.3</v>
      </c>
    </row>
    <row r="353" spans="1:9" x14ac:dyDescent="0.35">
      <c r="A353" t="s">
        <v>602</v>
      </c>
      <c r="B353" t="s">
        <v>78</v>
      </c>
      <c r="C353" t="s">
        <v>23</v>
      </c>
      <c r="D353" t="s">
        <v>19</v>
      </c>
      <c r="E353" t="s">
        <v>28</v>
      </c>
      <c r="F353">
        <v>20</v>
      </c>
      <c r="G353">
        <v>1322.74</v>
      </c>
      <c r="H353">
        <v>26454.799999999999</v>
      </c>
      <c r="I353">
        <v>3</v>
      </c>
    </row>
    <row r="354" spans="1:9" x14ac:dyDescent="0.35">
      <c r="A354" t="s">
        <v>603</v>
      </c>
      <c r="B354" t="s">
        <v>130</v>
      </c>
      <c r="C354" t="s">
        <v>11</v>
      </c>
      <c r="D354" t="s">
        <v>24</v>
      </c>
      <c r="E354" t="s">
        <v>44</v>
      </c>
      <c r="F354">
        <v>23</v>
      </c>
      <c r="G354">
        <v>861.19</v>
      </c>
      <c r="H354">
        <v>19807.37</v>
      </c>
      <c r="I354">
        <v>4.4000000000000004</v>
      </c>
    </row>
    <row r="355" spans="1:9" x14ac:dyDescent="0.35">
      <c r="A355" t="s">
        <v>604</v>
      </c>
      <c r="B355" t="s">
        <v>605</v>
      </c>
      <c r="C355" t="s">
        <v>16</v>
      </c>
      <c r="D355" t="s">
        <v>19</v>
      </c>
      <c r="E355" t="s">
        <v>31</v>
      </c>
      <c r="F355">
        <v>21</v>
      </c>
      <c r="G355">
        <v>752.39</v>
      </c>
      <c r="H355">
        <v>15800.19</v>
      </c>
      <c r="I355">
        <v>4.0999999999999996</v>
      </c>
    </row>
    <row r="356" spans="1:9" x14ac:dyDescent="0.35">
      <c r="A356" t="s">
        <v>606</v>
      </c>
      <c r="B356" t="s">
        <v>607</v>
      </c>
      <c r="C356" t="s">
        <v>16</v>
      </c>
      <c r="D356" t="s">
        <v>12</v>
      </c>
      <c r="E356" t="s">
        <v>17</v>
      </c>
      <c r="F356">
        <v>9</v>
      </c>
      <c r="G356">
        <v>1349.42</v>
      </c>
      <c r="H356">
        <v>12144.78</v>
      </c>
      <c r="I356">
        <v>4.5</v>
      </c>
    </row>
    <row r="357" spans="1:9" x14ac:dyDescent="0.35">
      <c r="A357" t="s">
        <v>608</v>
      </c>
      <c r="B357" t="s">
        <v>153</v>
      </c>
      <c r="C357" t="s">
        <v>23</v>
      </c>
      <c r="D357" t="s">
        <v>19</v>
      </c>
      <c r="E357" t="s">
        <v>28</v>
      </c>
      <c r="F357">
        <v>16</v>
      </c>
      <c r="G357">
        <v>99.34</v>
      </c>
      <c r="H357">
        <v>1589.44</v>
      </c>
      <c r="I357">
        <v>4.5</v>
      </c>
    </row>
    <row r="358" spans="1:9" x14ac:dyDescent="0.35">
      <c r="A358" t="s">
        <v>609</v>
      </c>
      <c r="B358" t="s">
        <v>116</v>
      </c>
      <c r="C358" t="s">
        <v>11</v>
      </c>
      <c r="D358" t="s">
        <v>19</v>
      </c>
      <c r="E358" t="s">
        <v>28</v>
      </c>
      <c r="F358">
        <v>7</v>
      </c>
      <c r="G358">
        <v>219.24</v>
      </c>
      <c r="H358">
        <v>1534.68</v>
      </c>
      <c r="I358">
        <v>3.1</v>
      </c>
    </row>
    <row r="359" spans="1:9" x14ac:dyDescent="0.35">
      <c r="A359" t="s">
        <v>610</v>
      </c>
      <c r="B359" t="s">
        <v>37</v>
      </c>
      <c r="C359" t="s">
        <v>38</v>
      </c>
      <c r="D359" t="s">
        <v>24</v>
      </c>
      <c r="E359" t="s">
        <v>25</v>
      </c>
      <c r="F359">
        <v>25</v>
      </c>
      <c r="G359">
        <v>1112.7</v>
      </c>
      <c r="H359">
        <v>27817.5</v>
      </c>
      <c r="I359">
        <v>4.4000000000000004</v>
      </c>
    </row>
    <row r="360" spans="1:9" x14ac:dyDescent="0.35">
      <c r="A360" t="s">
        <v>611</v>
      </c>
      <c r="B360" t="s">
        <v>223</v>
      </c>
      <c r="C360" t="s">
        <v>16</v>
      </c>
      <c r="D360" t="s">
        <v>19</v>
      </c>
      <c r="E360" t="s">
        <v>28</v>
      </c>
      <c r="F360">
        <v>14</v>
      </c>
      <c r="G360">
        <v>1195.29</v>
      </c>
      <c r="H360">
        <v>16734.060000000001</v>
      </c>
      <c r="I360">
        <v>4.2</v>
      </c>
    </row>
    <row r="361" spans="1:9" x14ac:dyDescent="0.35">
      <c r="A361" t="s">
        <v>612</v>
      </c>
      <c r="B361" t="s">
        <v>347</v>
      </c>
      <c r="C361" t="s">
        <v>11</v>
      </c>
      <c r="D361" t="s">
        <v>12</v>
      </c>
      <c r="E361" t="s">
        <v>90</v>
      </c>
      <c r="F361">
        <v>3</v>
      </c>
      <c r="G361">
        <v>799.95</v>
      </c>
      <c r="H361">
        <v>2399.85</v>
      </c>
      <c r="I361">
        <v>4.2</v>
      </c>
    </row>
    <row r="362" spans="1:9" x14ac:dyDescent="0.35">
      <c r="A362" t="s">
        <v>613</v>
      </c>
      <c r="B362" t="s">
        <v>410</v>
      </c>
      <c r="C362" t="s">
        <v>38</v>
      </c>
      <c r="D362" t="s">
        <v>19</v>
      </c>
      <c r="E362" t="s">
        <v>28</v>
      </c>
      <c r="F362">
        <v>20</v>
      </c>
      <c r="G362">
        <v>1240.95</v>
      </c>
      <c r="H362">
        <v>24819</v>
      </c>
      <c r="I362">
        <v>4.5999999999999996</v>
      </c>
    </row>
    <row r="363" spans="1:9" x14ac:dyDescent="0.35">
      <c r="A363" t="s">
        <v>614</v>
      </c>
      <c r="B363" t="s">
        <v>395</v>
      </c>
      <c r="C363" t="s">
        <v>16</v>
      </c>
      <c r="D363" t="s">
        <v>19</v>
      </c>
      <c r="E363" t="s">
        <v>28</v>
      </c>
      <c r="F363">
        <v>11</v>
      </c>
      <c r="G363">
        <v>200.78</v>
      </c>
      <c r="H363">
        <v>2208.58</v>
      </c>
      <c r="I363">
        <v>3.3</v>
      </c>
    </row>
    <row r="364" spans="1:9" x14ac:dyDescent="0.35">
      <c r="A364" t="s">
        <v>615</v>
      </c>
      <c r="B364" t="s">
        <v>221</v>
      </c>
      <c r="C364" t="s">
        <v>23</v>
      </c>
      <c r="D364" t="s">
        <v>19</v>
      </c>
      <c r="E364" t="s">
        <v>28</v>
      </c>
      <c r="F364">
        <v>25</v>
      </c>
      <c r="G364">
        <v>329.36</v>
      </c>
      <c r="H364">
        <v>8234</v>
      </c>
      <c r="I364">
        <v>4.5999999999999996</v>
      </c>
    </row>
    <row r="365" spans="1:9" x14ac:dyDescent="0.35">
      <c r="A365" t="s">
        <v>616</v>
      </c>
      <c r="B365" t="s">
        <v>617</v>
      </c>
      <c r="C365" t="s">
        <v>11</v>
      </c>
      <c r="D365" t="s">
        <v>12</v>
      </c>
      <c r="E365" t="s">
        <v>17</v>
      </c>
      <c r="F365">
        <v>9</v>
      </c>
      <c r="G365">
        <v>693.64</v>
      </c>
      <c r="H365">
        <v>6242.76</v>
      </c>
      <c r="I365">
        <v>5</v>
      </c>
    </row>
    <row r="366" spans="1:9" x14ac:dyDescent="0.35">
      <c r="A366" t="s">
        <v>618</v>
      </c>
      <c r="B366" t="s">
        <v>619</v>
      </c>
      <c r="C366" t="s">
        <v>23</v>
      </c>
      <c r="D366" t="s">
        <v>12</v>
      </c>
      <c r="E366" t="s">
        <v>13</v>
      </c>
      <c r="F366">
        <v>6</v>
      </c>
      <c r="G366">
        <v>482.48</v>
      </c>
      <c r="H366">
        <v>2894.88</v>
      </c>
      <c r="I366">
        <v>4.3</v>
      </c>
    </row>
    <row r="367" spans="1:9" x14ac:dyDescent="0.35">
      <c r="A367" t="s">
        <v>620</v>
      </c>
      <c r="B367" t="s">
        <v>621</v>
      </c>
      <c r="C367" t="s">
        <v>23</v>
      </c>
      <c r="D367" t="s">
        <v>12</v>
      </c>
      <c r="E367" t="s">
        <v>90</v>
      </c>
      <c r="F367">
        <v>24</v>
      </c>
      <c r="G367">
        <v>1344.73</v>
      </c>
      <c r="H367">
        <v>32273.52</v>
      </c>
      <c r="I367">
        <v>3</v>
      </c>
    </row>
    <row r="368" spans="1:9" x14ac:dyDescent="0.35">
      <c r="A368" t="s">
        <v>622</v>
      </c>
      <c r="B368" t="s">
        <v>623</v>
      </c>
      <c r="C368" t="s">
        <v>11</v>
      </c>
      <c r="D368" t="s">
        <v>12</v>
      </c>
      <c r="E368" t="s">
        <v>90</v>
      </c>
      <c r="F368">
        <v>2</v>
      </c>
      <c r="G368">
        <v>1013.34</v>
      </c>
      <c r="H368">
        <v>2026.68</v>
      </c>
      <c r="I368">
        <v>3.3</v>
      </c>
    </row>
    <row r="369" spans="1:9" x14ac:dyDescent="0.35">
      <c r="A369" t="s">
        <v>624</v>
      </c>
      <c r="B369" t="s">
        <v>262</v>
      </c>
      <c r="C369" t="s">
        <v>38</v>
      </c>
      <c r="D369" t="s">
        <v>12</v>
      </c>
      <c r="E369" t="s">
        <v>13</v>
      </c>
      <c r="F369">
        <v>24</v>
      </c>
      <c r="G369">
        <v>721.85</v>
      </c>
      <c r="H369">
        <v>17324.400000000001</v>
      </c>
      <c r="I369">
        <v>3.4</v>
      </c>
    </row>
    <row r="370" spans="1:9" x14ac:dyDescent="0.35">
      <c r="A370" t="s">
        <v>625</v>
      </c>
      <c r="B370" t="s">
        <v>626</v>
      </c>
      <c r="C370" t="s">
        <v>11</v>
      </c>
      <c r="D370" t="s">
        <v>24</v>
      </c>
      <c r="E370" t="s">
        <v>69</v>
      </c>
      <c r="F370">
        <v>9</v>
      </c>
      <c r="G370">
        <v>1391</v>
      </c>
      <c r="H370">
        <v>12519</v>
      </c>
      <c r="I370">
        <v>4.7</v>
      </c>
    </row>
    <row r="371" spans="1:9" x14ac:dyDescent="0.35">
      <c r="A371" t="s">
        <v>627</v>
      </c>
      <c r="B371" t="s">
        <v>628</v>
      </c>
      <c r="C371" t="s">
        <v>23</v>
      </c>
      <c r="D371" t="s">
        <v>19</v>
      </c>
      <c r="E371" t="s">
        <v>31</v>
      </c>
      <c r="F371">
        <v>3</v>
      </c>
      <c r="G371">
        <v>173.72</v>
      </c>
      <c r="H371">
        <v>521.16</v>
      </c>
      <c r="I371">
        <v>3.9</v>
      </c>
    </row>
    <row r="372" spans="1:9" x14ac:dyDescent="0.35">
      <c r="A372" t="s">
        <v>629</v>
      </c>
      <c r="B372" t="s">
        <v>319</v>
      </c>
      <c r="C372" t="s">
        <v>11</v>
      </c>
      <c r="D372" t="s">
        <v>19</v>
      </c>
      <c r="E372" t="s">
        <v>20</v>
      </c>
      <c r="F372">
        <v>9</v>
      </c>
      <c r="G372">
        <v>251.6</v>
      </c>
      <c r="H372">
        <v>2264.4</v>
      </c>
      <c r="I372">
        <v>4.9000000000000004</v>
      </c>
    </row>
    <row r="373" spans="1:9" x14ac:dyDescent="0.35">
      <c r="A373" t="s">
        <v>630</v>
      </c>
      <c r="B373" t="s">
        <v>631</v>
      </c>
      <c r="C373" t="s">
        <v>38</v>
      </c>
      <c r="D373" t="s">
        <v>12</v>
      </c>
      <c r="E373" t="s">
        <v>13</v>
      </c>
      <c r="F373">
        <v>17</v>
      </c>
      <c r="G373">
        <v>1156.45</v>
      </c>
      <c r="H373">
        <v>19659.650000000001</v>
      </c>
      <c r="I373">
        <v>4.0999999999999996</v>
      </c>
    </row>
    <row r="374" spans="1:9" x14ac:dyDescent="0.35">
      <c r="A374" t="s">
        <v>632</v>
      </c>
      <c r="B374" t="s">
        <v>633</v>
      </c>
      <c r="C374" t="s">
        <v>38</v>
      </c>
      <c r="D374" t="s">
        <v>12</v>
      </c>
      <c r="E374" t="s">
        <v>90</v>
      </c>
      <c r="F374">
        <v>22</v>
      </c>
      <c r="G374">
        <v>98.84</v>
      </c>
      <c r="H374">
        <v>2174.48</v>
      </c>
      <c r="I374">
        <v>4.3</v>
      </c>
    </row>
    <row r="375" spans="1:9" x14ac:dyDescent="0.35">
      <c r="A375" t="s">
        <v>634</v>
      </c>
      <c r="B375" t="s">
        <v>635</v>
      </c>
      <c r="C375" t="s">
        <v>23</v>
      </c>
      <c r="D375" t="s">
        <v>19</v>
      </c>
      <c r="E375" t="s">
        <v>31</v>
      </c>
      <c r="F375">
        <v>2</v>
      </c>
      <c r="G375">
        <v>750.58</v>
      </c>
      <c r="H375">
        <v>1501.16</v>
      </c>
      <c r="I375">
        <v>3.7</v>
      </c>
    </row>
    <row r="376" spans="1:9" x14ac:dyDescent="0.35">
      <c r="A376" t="s">
        <v>636</v>
      </c>
      <c r="B376" t="s">
        <v>310</v>
      </c>
      <c r="C376" t="s">
        <v>11</v>
      </c>
      <c r="D376" t="s">
        <v>12</v>
      </c>
      <c r="E376" t="s">
        <v>13</v>
      </c>
      <c r="F376">
        <v>3</v>
      </c>
      <c r="G376">
        <v>602.58000000000004</v>
      </c>
      <c r="H376">
        <v>1807.74</v>
      </c>
      <c r="I376">
        <v>3.7</v>
      </c>
    </row>
    <row r="377" spans="1:9" x14ac:dyDescent="0.35">
      <c r="A377" t="s">
        <v>637</v>
      </c>
      <c r="B377" t="s">
        <v>635</v>
      </c>
      <c r="C377" t="s">
        <v>23</v>
      </c>
      <c r="D377" t="s">
        <v>19</v>
      </c>
      <c r="E377" t="s">
        <v>28</v>
      </c>
      <c r="F377">
        <v>7</v>
      </c>
      <c r="G377">
        <v>1434.83</v>
      </c>
      <c r="H377">
        <v>10043.81</v>
      </c>
      <c r="I377">
        <v>4.4000000000000004</v>
      </c>
    </row>
    <row r="378" spans="1:9" x14ac:dyDescent="0.35">
      <c r="A378" t="s">
        <v>638</v>
      </c>
      <c r="B378" t="s">
        <v>639</v>
      </c>
      <c r="C378" t="s">
        <v>16</v>
      </c>
      <c r="D378" t="s">
        <v>12</v>
      </c>
      <c r="E378" t="s">
        <v>13</v>
      </c>
      <c r="F378">
        <v>22</v>
      </c>
      <c r="G378">
        <v>284.23</v>
      </c>
      <c r="H378">
        <v>6253.06</v>
      </c>
      <c r="I378">
        <v>4.3</v>
      </c>
    </row>
    <row r="379" spans="1:9" x14ac:dyDescent="0.35">
      <c r="A379" t="s">
        <v>640</v>
      </c>
      <c r="B379" t="s">
        <v>641</v>
      </c>
      <c r="C379" t="s">
        <v>38</v>
      </c>
      <c r="D379" t="s">
        <v>19</v>
      </c>
      <c r="E379" t="s">
        <v>31</v>
      </c>
      <c r="F379">
        <v>9</v>
      </c>
      <c r="G379">
        <v>1412.42</v>
      </c>
      <c r="H379">
        <v>12711.78</v>
      </c>
      <c r="I379">
        <v>4.3</v>
      </c>
    </row>
    <row r="380" spans="1:9" x14ac:dyDescent="0.35">
      <c r="A380" t="s">
        <v>642</v>
      </c>
      <c r="B380" t="s">
        <v>643</v>
      </c>
      <c r="C380" t="s">
        <v>38</v>
      </c>
      <c r="D380" t="s">
        <v>24</v>
      </c>
      <c r="E380" t="s">
        <v>25</v>
      </c>
      <c r="F380">
        <v>2</v>
      </c>
      <c r="G380">
        <v>1318.09</v>
      </c>
      <c r="H380">
        <v>2636.18</v>
      </c>
      <c r="I380">
        <v>4.0999999999999996</v>
      </c>
    </row>
    <row r="381" spans="1:9" x14ac:dyDescent="0.35">
      <c r="A381" t="s">
        <v>644</v>
      </c>
      <c r="B381" t="s">
        <v>645</v>
      </c>
      <c r="C381" t="s">
        <v>16</v>
      </c>
      <c r="D381" t="s">
        <v>24</v>
      </c>
      <c r="E381" t="s">
        <v>44</v>
      </c>
      <c r="F381">
        <v>1</v>
      </c>
      <c r="G381">
        <v>459.42</v>
      </c>
      <c r="H381">
        <v>459.42</v>
      </c>
      <c r="I381">
        <v>4.7</v>
      </c>
    </row>
    <row r="382" spans="1:9" x14ac:dyDescent="0.35">
      <c r="A382" t="s">
        <v>646</v>
      </c>
      <c r="B382" t="s">
        <v>360</v>
      </c>
      <c r="C382" t="s">
        <v>38</v>
      </c>
      <c r="D382" t="s">
        <v>24</v>
      </c>
      <c r="E382" t="s">
        <v>44</v>
      </c>
      <c r="F382">
        <v>14</v>
      </c>
      <c r="G382">
        <v>209.6</v>
      </c>
      <c r="H382">
        <v>2934.4</v>
      </c>
      <c r="I382">
        <v>3.2</v>
      </c>
    </row>
    <row r="383" spans="1:9" x14ac:dyDescent="0.35">
      <c r="A383" t="s">
        <v>647</v>
      </c>
      <c r="B383" t="s">
        <v>648</v>
      </c>
      <c r="C383" t="s">
        <v>16</v>
      </c>
      <c r="D383" t="s">
        <v>12</v>
      </c>
      <c r="E383" t="s">
        <v>90</v>
      </c>
      <c r="F383">
        <v>9</v>
      </c>
      <c r="G383">
        <v>1470.52</v>
      </c>
      <c r="H383">
        <v>13234.68</v>
      </c>
      <c r="I383">
        <v>4.2</v>
      </c>
    </row>
    <row r="384" spans="1:9" x14ac:dyDescent="0.35">
      <c r="A384" t="s">
        <v>649</v>
      </c>
      <c r="B384" t="s">
        <v>89</v>
      </c>
      <c r="C384" t="s">
        <v>38</v>
      </c>
      <c r="D384" t="s">
        <v>12</v>
      </c>
      <c r="E384" t="s">
        <v>17</v>
      </c>
      <c r="F384">
        <v>6</v>
      </c>
      <c r="G384">
        <v>733.42</v>
      </c>
      <c r="H384">
        <v>4400.5200000000004</v>
      </c>
      <c r="I384">
        <v>4.9000000000000004</v>
      </c>
    </row>
    <row r="385" spans="1:9" x14ac:dyDescent="0.35">
      <c r="A385" t="s">
        <v>650</v>
      </c>
      <c r="B385" t="s">
        <v>142</v>
      </c>
      <c r="C385" t="s">
        <v>38</v>
      </c>
      <c r="D385" t="s">
        <v>19</v>
      </c>
      <c r="E385" t="s">
        <v>20</v>
      </c>
      <c r="F385">
        <v>22</v>
      </c>
      <c r="G385">
        <v>282.39</v>
      </c>
      <c r="H385">
        <v>6212.58</v>
      </c>
      <c r="I385">
        <v>5</v>
      </c>
    </row>
    <row r="386" spans="1:9" x14ac:dyDescent="0.35">
      <c r="A386" t="s">
        <v>651</v>
      </c>
      <c r="B386" t="s">
        <v>652</v>
      </c>
      <c r="C386" t="s">
        <v>38</v>
      </c>
      <c r="D386" t="s">
        <v>19</v>
      </c>
      <c r="E386" t="s">
        <v>20</v>
      </c>
      <c r="F386">
        <v>15</v>
      </c>
      <c r="G386">
        <v>731.55</v>
      </c>
      <c r="H386">
        <v>10973.25</v>
      </c>
      <c r="I386">
        <v>3.5</v>
      </c>
    </row>
    <row r="387" spans="1:9" x14ac:dyDescent="0.35">
      <c r="A387" t="s">
        <v>653</v>
      </c>
      <c r="B387" t="s">
        <v>214</v>
      </c>
      <c r="C387" t="s">
        <v>23</v>
      </c>
      <c r="D387" t="s">
        <v>19</v>
      </c>
      <c r="E387" t="s">
        <v>31</v>
      </c>
      <c r="F387">
        <v>24</v>
      </c>
      <c r="G387">
        <v>154.38</v>
      </c>
      <c r="H387">
        <v>3705.12</v>
      </c>
      <c r="I387">
        <v>4.9000000000000004</v>
      </c>
    </row>
    <row r="388" spans="1:9" x14ac:dyDescent="0.35">
      <c r="A388" t="s">
        <v>654</v>
      </c>
      <c r="B388" t="s">
        <v>655</v>
      </c>
      <c r="C388" t="s">
        <v>23</v>
      </c>
      <c r="D388" t="s">
        <v>24</v>
      </c>
      <c r="E388" t="s">
        <v>69</v>
      </c>
      <c r="F388">
        <v>5</v>
      </c>
      <c r="G388">
        <v>1238.3599999999999</v>
      </c>
      <c r="H388">
        <v>6191.8</v>
      </c>
      <c r="I388">
        <v>5</v>
      </c>
    </row>
    <row r="389" spans="1:9" x14ac:dyDescent="0.35">
      <c r="A389" t="s">
        <v>656</v>
      </c>
      <c r="B389" t="s">
        <v>356</v>
      </c>
      <c r="C389" t="s">
        <v>11</v>
      </c>
      <c r="D389" t="s">
        <v>24</v>
      </c>
      <c r="E389" t="s">
        <v>25</v>
      </c>
      <c r="F389">
        <v>20</v>
      </c>
      <c r="G389">
        <v>716.27</v>
      </c>
      <c r="H389">
        <v>14325.4</v>
      </c>
      <c r="I389">
        <v>4.3</v>
      </c>
    </row>
    <row r="390" spans="1:9" x14ac:dyDescent="0.35">
      <c r="A390" t="s">
        <v>657</v>
      </c>
      <c r="B390" t="s">
        <v>383</v>
      </c>
      <c r="C390" t="s">
        <v>38</v>
      </c>
      <c r="D390" t="s">
        <v>24</v>
      </c>
      <c r="E390" t="s">
        <v>44</v>
      </c>
      <c r="F390">
        <v>15</v>
      </c>
      <c r="G390">
        <v>1423.09</v>
      </c>
      <c r="H390">
        <v>21346.35</v>
      </c>
      <c r="I390">
        <v>3.2</v>
      </c>
    </row>
    <row r="391" spans="1:9" x14ac:dyDescent="0.35">
      <c r="A391" t="s">
        <v>658</v>
      </c>
      <c r="B391" t="s">
        <v>443</v>
      </c>
      <c r="C391" t="s">
        <v>38</v>
      </c>
      <c r="D391" t="s">
        <v>12</v>
      </c>
      <c r="E391" t="s">
        <v>13</v>
      </c>
      <c r="F391">
        <v>21</v>
      </c>
      <c r="G391">
        <v>573.49</v>
      </c>
      <c r="H391">
        <v>12043.29</v>
      </c>
      <c r="I391">
        <v>3.6</v>
      </c>
    </row>
    <row r="392" spans="1:9" x14ac:dyDescent="0.35">
      <c r="A392" t="s">
        <v>659</v>
      </c>
      <c r="B392" t="s">
        <v>89</v>
      </c>
      <c r="C392" t="s">
        <v>11</v>
      </c>
      <c r="D392" t="s">
        <v>19</v>
      </c>
      <c r="E392" t="s">
        <v>28</v>
      </c>
      <c r="F392">
        <v>21</v>
      </c>
      <c r="G392">
        <v>1439.41</v>
      </c>
      <c r="H392">
        <v>30227.61</v>
      </c>
      <c r="I392">
        <v>4.2</v>
      </c>
    </row>
    <row r="393" spans="1:9" x14ac:dyDescent="0.35">
      <c r="A393" t="s">
        <v>660</v>
      </c>
      <c r="B393" t="s">
        <v>410</v>
      </c>
      <c r="C393" t="s">
        <v>23</v>
      </c>
      <c r="D393" t="s">
        <v>24</v>
      </c>
      <c r="E393" t="s">
        <v>69</v>
      </c>
      <c r="F393">
        <v>12</v>
      </c>
      <c r="G393">
        <v>1333.9</v>
      </c>
      <c r="H393">
        <v>16006.8</v>
      </c>
      <c r="I393">
        <v>3.4</v>
      </c>
    </row>
    <row r="394" spans="1:9" x14ac:dyDescent="0.35">
      <c r="A394" t="s">
        <v>661</v>
      </c>
      <c r="B394" t="s">
        <v>662</v>
      </c>
      <c r="C394" t="s">
        <v>11</v>
      </c>
      <c r="D394" t="s">
        <v>24</v>
      </c>
      <c r="E394" t="s">
        <v>44</v>
      </c>
      <c r="F394">
        <v>3</v>
      </c>
      <c r="G394">
        <v>1079.82</v>
      </c>
      <c r="H394">
        <v>3239.46</v>
      </c>
      <c r="I394">
        <v>4.5</v>
      </c>
    </row>
    <row r="395" spans="1:9" x14ac:dyDescent="0.35">
      <c r="A395" t="s">
        <v>663</v>
      </c>
      <c r="B395" t="s">
        <v>233</v>
      </c>
      <c r="C395" t="s">
        <v>16</v>
      </c>
      <c r="D395" t="s">
        <v>19</v>
      </c>
      <c r="E395" t="s">
        <v>28</v>
      </c>
      <c r="F395">
        <v>13</v>
      </c>
      <c r="G395">
        <v>187.82</v>
      </c>
      <c r="H395">
        <v>2441.66</v>
      </c>
      <c r="I395">
        <v>3</v>
      </c>
    </row>
    <row r="396" spans="1:9" x14ac:dyDescent="0.35">
      <c r="A396" t="s">
        <v>664</v>
      </c>
      <c r="B396" t="s">
        <v>173</v>
      </c>
      <c r="C396" t="s">
        <v>38</v>
      </c>
      <c r="D396" t="s">
        <v>24</v>
      </c>
      <c r="E396" t="s">
        <v>25</v>
      </c>
      <c r="F396">
        <v>3</v>
      </c>
      <c r="G396">
        <v>1232.57</v>
      </c>
      <c r="H396">
        <v>3697.71</v>
      </c>
      <c r="I396">
        <v>4.7</v>
      </c>
    </row>
    <row r="397" spans="1:9" x14ac:dyDescent="0.35">
      <c r="A397" t="s">
        <v>665</v>
      </c>
      <c r="B397" t="s">
        <v>390</v>
      </c>
      <c r="C397" t="s">
        <v>16</v>
      </c>
      <c r="D397" t="s">
        <v>24</v>
      </c>
      <c r="E397" t="s">
        <v>44</v>
      </c>
      <c r="F397">
        <v>2</v>
      </c>
      <c r="G397">
        <v>49.7</v>
      </c>
      <c r="H397">
        <v>99.4</v>
      </c>
      <c r="I397">
        <v>4.9000000000000004</v>
      </c>
    </row>
    <row r="398" spans="1:9" x14ac:dyDescent="0.35">
      <c r="A398" t="s">
        <v>666</v>
      </c>
      <c r="B398" t="s">
        <v>628</v>
      </c>
      <c r="C398" t="s">
        <v>38</v>
      </c>
      <c r="D398" t="s">
        <v>19</v>
      </c>
      <c r="E398" t="s">
        <v>28</v>
      </c>
      <c r="F398">
        <v>1</v>
      </c>
      <c r="G398">
        <v>837.79</v>
      </c>
      <c r="H398">
        <v>837.79</v>
      </c>
      <c r="I398">
        <v>3.8</v>
      </c>
    </row>
    <row r="399" spans="1:9" x14ac:dyDescent="0.35">
      <c r="A399" t="s">
        <v>667</v>
      </c>
      <c r="B399" t="s">
        <v>668</v>
      </c>
      <c r="C399" t="s">
        <v>16</v>
      </c>
      <c r="D399" t="s">
        <v>24</v>
      </c>
      <c r="E399" t="s">
        <v>69</v>
      </c>
      <c r="F399">
        <v>22</v>
      </c>
      <c r="G399">
        <v>347.18</v>
      </c>
      <c r="H399">
        <v>7637.96</v>
      </c>
      <c r="I399">
        <v>4.2</v>
      </c>
    </row>
    <row r="400" spans="1:9" x14ac:dyDescent="0.35">
      <c r="A400" t="s">
        <v>669</v>
      </c>
      <c r="B400" t="s">
        <v>607</v>
      </c>
      <c r="C400" t="s">
        <v>11</v>
      </c>
      <c r="D400" t="s">
        <v>19</v>
      </c>
      <c r="E400" t="s">
        <v>20</v>
      </c>
      <c r="F400">
        <v>12</v>
      </c>
      <c r="G400">
        <v>1313.96</v>
      </c>
      <c r="H400">
        <v>15767.52</v>
      </c>
      <c r="I400">
        <v>3.8</v>
      </c>
    </row>
    <row r="401" spans="1:9" x14ac:dyDescent="0.35">
      <c r="A401" t="s">
        <v>670</v>
      </c>
      <c r="B401" t="s">
        <v>284</v>
      </c>
      <c r="C401" t="s">
        <v>16</v>
      </c>
      <c r="D401" t="s">
        <v>19</v>
      </c>
      <c r="E401" t="s">
        <v>20</v>
      </c>
      <c r="F401">
        <v>10</v>
      </c>
      <c r="G401">
        <v>965.52</v>
      </c>
      <c r="H401">
        <v>9655.2000000000007</v>
      </c>
      <c r="I401">
        <v>4.0999999999999996</v>
      </c>
    </row>
    <row r="402" spans="1:9" x14ac:dyDescent="0.35">
      <c r="A402" t="s">
        <v>671</v>
      </c>
      <c r="B402" t="s">
        <v>445</v>
      </c>
      <c r="C402" t="s">
        <v>23</v>
      </c>
      <c r="D402" t="s">
        <v>24</v>
      </c>
      <c r="E402" t="s">
        <v>69</v>
      </c>
      <c r="F402">
        <v>21</v>
      </c>
      <c r="G402">
        <v>574.84</v>
      </c>
      <c r="H402">
        <v>12071.64</v>
      </c>
      <c r="I402">
        <v>4.5</v>
      </c>
    </row>
    <row r="403" spans="1:9" x14ac:dyDescent="0.35">
      <c r="A403" t="s">
        <v>672</v>
      </c>
      <c r="B403" t="s">
        <v>655</v>
      </c>
      <c r="C403" t="s">
        <v>11</v>
      </c>
      <c r="D403" t="s">
        <v>19</v>
      </c>
      <c r="E403" t="s">
        <v>28</v>
      </c>
      <c r="F403">
        <v>21</v>
      </c>
      <c r="G403">
        <v>1179.95</v>
      </c>
      <c r="H403">
        <v>24778.95</v>
      </c>
      <c r="I403">
        <v>3.7</v>
      </c>
    </row>
    <row r="404" spans="1:9" x14ac:dyDescent="0.35">
      <c r="A404" t="s">
        <v>673</v>
      </c>
      <c r="B404" t="s">
        <v>324</v>
      </c>
      <c r="C404" t="s">
        <v>38</v>
      </c>
      <c r="D404" t="s">
        <v>12</v>
      </c>
      <c r="E404" t="s">
        <v>13</v>
      </c>
      <c r="F404">
        <v>10</v>
      </c>
      <c r="G404">
        <v>1066.6099999999999</v>
      </c>
      <c r="H404">
        <v>10666.1</v>
      </c>
      <c r="I404">
        <v>3.1</v>
      </c>
    </row>
    <row r="405" spans="1:9" x14ac:dyDescent="0.35">
      <c r="A405" t="s">
        <v>674</v>
      </c>
      <c r="B405" t="s">
        <v>413</v>
      </c>
      <c r="C405" t="s">
        <v>16</v>
      </c>
      <c r="D405" t="s">
        <v>19</v>
      </c>
      <c r="E405" t="s">
        <v>31</v>
      </c>
      <c r="F405">
        <v>3</v>
      </c>
      <c r="G405">
        <v>261.48</v>
      </c>
      <c r="H405">
        <v>784.44</v>
      </c>
      <c r="I405">
        <v>3.8</v>
      </c>
    </row>
    <row r="406" spans="1:9" x14ac:dyDescent="0.35">
      <c r="A406" t="s">
        <v>675</v>
      </c>
      <c r="B406" t="s">
        <v>676</v>
      </c>
      <c r="C406" t="s">
        <v>11</v>
      </c>
      <c r="D406" t="s">
        <v>19</v>
      </c>
      <c r="E406" t="s">
        <v>28</v>
      </c>
      <c r="F406">
        <v>18</v>
      </c>
      <c r="G406">
        <v>577.12</v>
      </c>
      <c r="H406">
        <v>10388.16</v>
      </c>
      <c r="I406">
        <v>3.2</v>
      </c>
    </row>
    <row r="407" spans="1:9" x14ac:dyDescent="0.35">
      <c r="A407" t="s">
        <v>677</v>
      </c>
      <c r="B407" t="s">
        <v>321</v>
      </c>
      <c r="C407" t="s">
        <v>16</v>
      </c>
      <c r="D407" t="s">
        <v>12</v>
      </c>
      <c r="E407" t="s">
        <v>90</v>
      </c>
      <c r="F407">
        <v>17</v>
      </c>
      <c r="G407">
        <v>1438.98</v>
      </c>
      <c r="H407">
        <v>24462.66</v>
      </c>
      <c r="I407">
        <v>3.9</v>
      </c>
    </row>
    <row r="408" spans="1:9" x14ac:dyDescent="0.35">
      <c r="A408" t="s">
        <v>678</v>
      </c>
      <c r="B408" t="s">
        <v>679</v>
      </c>
      <c r="C408" t="s">
        <v>11</v>
      </c>
      <c r="D408" t="s">
        <v>24</v>
      </c>
      <c r="E408" t="s">
        <v>69</v>
      </c>
      <c r="F408">
        <v>21</v>
      </c>
      <c r="G408">
        <v>668.26</v>
      </c>
      <c r="H408">
        <v>14033.46</v>
      </c>
      <c r="I408">
        <v>3.8</v>
      </c>
    </row>
    <row r="409" spans="1:9" x14ac:dyDescent="0.35">
      <c r="A409" t="s">
        <v>680</v>
      </c>
      <c r="B409" t="s">
        <v>368</v>
      </c>
      <c r="C409" t="s">
        <v>11</v>
      </c>
      <c r="D409" t="s">
        <v>24</v>
      </c>
      <c r="E409" t="s">
        <v>25</v>
      </c>
      <c r="F409">
        <v>13</v>
      </c>
      <c r="G409">
        <v>1462.03</v>
      </c>
      <c r="H409">
        <v>19006.39</v>
      </c>
      <c r="I409">
        <v>3.9</v>
      </c>
    </row>
    <row r="410" spans="1:9" x14ac:dyDescent="0.35">
      <c r="A410" t="s">
        <v>681</v>
      </c>
      <c r="B410" t="s">
        <v>203</v>
      </c>
      <c r="C410" t="s">
        <v>23</v>
      </c>
      <c r="D410" t="s">
        <v>24</v>
      </c>
      <c r="E410" t="s">
        <v>25</v>
      </c>
      <c r="F410">
        <v>13</v>
      </c>
      <c r="G410">
        <v>1183.17</v>
      </c>
      <c r="H410">
        <v>15381.21</v>
      </c>
      <c r="I410">
        <v>3.1</v>
      </c>
    </row>
    <row r="411" spans="1:9" x14ac:dyDescent="0.35">
      <c r="A411" t="s">
        <v>682</v>
      </c>
      <c r="B411" t="s">
        <v>153</v>
      </c>
      <c r="C411" t="s">
        <v>23</v>
      </c>
      <c r="D411" t="s">
        <v>24</v>
      </c>
      <c r="E411" t="s">
        <v>69</v>
      </c>
      <c r="F411">
        <v>1</v>
      </c>
      <c r="G411">
        <v>231.71</v>
      </c>
      <c r="H411">
        <v>231.71</v>
      </c>
      <c r="I411">
        <v>4</v>
      </c>
    </row>
    <row r="412" spans="1:9" x14ac:dyDescent="0.35">
      <c r="A412" t="s">
        <v>683</v>
      </c>
      <c r="B412" t="s">
        <v>498</v>
      </c>
      <c r="C412" t="s">
        <v>11</v>
      </c>
      <c r="D412" t="s">
        <v>12</v>
      </c>
      <c r="E412" t="s">
        <v>17</v>
      </c>
      <c r="F412">
        <v>11</v>
      </c>
      <c r="G412">
        <v>638.65</v>
      </c>
      <c r="H412">
        <v>7025.15</v>
      </c>
      <c r="I412">
        <v>4.7</v>
      </c>
    </row>
    <row r="413" spans="1:9" x14ac:dyDescent="0.35">
      <c r="A413" t="s">
        <v>684</v>
      </c>
      <c r="B413" t="s">
        <v>685</v>
      </c>
      <c r="C413" t="s">
        <v>16</v>
      </c>
      <c r="D413" t="s">
        <v>12</v>
      </c>
      <c r="E413" t="s">
        <v>90</v>
      </c>
      <c r="F413">
        <v>13</v>
      </c>
      <c r="G413">
        <v>1424.72</v>
      </c>
      <c r="H413">
        <v>18521.36</v>
      </c>
      <c r="I413">
        <v>4.5999999999999996</v>
      </c>
    </row>
    <row r="414" spans="1:9" x14ac:dyDescent="0.35">
      <c r="A414" t="s">
        <v>686</v>
      </c>
      <c r="B414" t="s">
        <v>558</v>
      </c>
      <c r="C414" t="s">
        <v>23</v>
      </c>
      <c r="D414" t="s">
        <v>19</v>
      </c>
      <c r="E414" t="s">
        <v>28</v>
      </c>
      <c r="F414">
        <v>7</v>
      </c>
      <c r="G414">
        <v>386.18</v>
      </c>
      <c r="H414">
        <v>2703.26</v>
      </c>
      <c r="I414">
        <v>3.1</v>
      </c>
    </row>
    <row r="415" spans="1:9" x14ac:dyDescent="0.35">
      <c r="A415" t="s">
        <v>687</v>
      </c>
      <c r="B415" t="s">
        <v>516</v>
      </c>
      <c r="C415" t="s">
        <v>23</v>
      </c>
      <c r="D415" t="s">
        <v>19</v>
      </c>
      <c r="E415" t="s">
        <v>28</v>
      </c>
      <c r="F415">
        <v>11</v>
      </c>
      <c r="G415">
        <v>1265.55</v>
      </c>
      <c r="H415">
        <v>13921.05</v>
      </c>
      <c r="I415">
        <v>3.3</v>
      </c>
    </row>
    <row r="416" spans="1:9" x14ac:dyDescent="0.35">
      <c r="A416" t="s">
        <v>688</v>
      </c>
      <c r="B416" t="s">
        <v>179</v>
      </c>
      <c r="C416" t="s">
        <v>23</v>
      </c>
      <c r="D416" t="s">
        <v>12</v>
      </c>
      <c r="E416" t="s">
        <v>90</v>
      </c>
      <c r="F416">
        <v>19</v>
      </c>
      <c r="G416">
        <v>845.4</v>
      </c>
      <c r="H416">
        <v>16062.6</v>
      </c>
      <c r="I416">
        <v>4.0999999999999996</v>
      </c>
    </row>
    <row r="417" spans="1:9" x14ac:dyDescent="0.35">
      <c r="A417" t="s">
        <v>689</v>
      </c>
      <c r="B417" t="s">
        <v>482</v>
      </c>
      <c r="C417" t="s">
        <v>16</v>
      </c>
      <c r="D417" t="s">
        <v>12</v>
      </c>
      <c r="E417" t="s">
        <v>17</v>
      </c>
      <c r="F417">
        <v>15</v>
      </c>
      <c r="G417">
        <v>1281.3499999999999</v>
      </c>
      <c r="H417">
        <v>19220.25</v>
      </c>
      <c r="I417">
        <v>3.6</v>
      </c>
    </row>
    <row r="418" spans="1:9" x14ac:dyDescent="0.35">
      <c r="A418" t="s">
        <v>690</v>
      </c>
      <c r="B418" t="s">
        <v>601</v>
      </c>
      <c r="C418" t="s">
        <v>38</v>
      </c>
      <c r="D418" t="s">
        <v>19</v>
      </c>
      <c r="E418" t="s">
        <v>20</v>
      </c>
      <c r="F418">
        <v>11</v>
      </c>
      <c r="G418">
        <v>1469.96</v>
      </c>
      <c r="H418">
        <v>16169.56</v>
      </c>
      <c r="I418">
        <v>3.4</v>
      </c>
    </row>
    <row r="419" spans="1:9" x14ac:dyDescent="0.35">
      <c r="A419" t="s">
        <v>691</v>
      </c>
      <c r="B419" t="s">
        <v>578</v>
      </c>
      <c r="C419" t="s">
        <v>38</v>
      </c>
      <c r="D419" t="s">
        <v>19</v>
      </c>
      <c r="E419" t="s">
        <v>28</v>
      </c>
      <c r="F419">
        <v>10</v>
      </c>
      <c r="G419">
        <v>1309.1300000000001</v>
      </c>
      <c r="H419">
        <v>13091.3</v>
      </c>
      <c r="I419">
        <v>4.5999999999999996</v>
      </c>
    </row>
    <row r="420" spans="1:9" x14ac:dyDescent="0.35">
      <c r="A420" t="s">
        <v>692</v>
      </c>
      <c r="B420" t="s">
        <v>112</v>
      </c>
      <c r="C420" t="s">
        <v>38</v>
      </c>
      <c r="D420" t="s">
        <v>12</v>
      </c>
      <c r="E420" t="s">
        <v>90</v>
      </c>
      <c r="F420">
        <v>4</v>
      </c>
      <c r="G420">
        <v>228.17</v>
      </c>
      <c r="H420">
        <v>912.68</v>
      </c>
      <c r="I420">
        <v>4.3</v>
      </c>
    </row>
    <row r="421" spans="1:9" x14ac:dyDescent="0.35">
      <c r="A421" t="s">
        <v>693</v>
      </c>
      <c r="B421" t="s">
        <v>50</v>
      </c>
      <c r="C421" t="s">
        <v>38</v>
      </c>
      <c r="D421" t="s">
        <v>24</v>
      </c>
      <c r="E421" t="s">
        <v>25</v>
      </c>
      <c r="F421">
        <v>8</v>
      </c>
      <c r="G421">
        <v>672.9</v>
      </c>
      <c r="H421">
        <v>5383.2</v>
      </c>
      <c r="I421">
        <v>3.4</v>
      </c>
    </row>
    <row r="422" spans="1:9" x14ac:dyDescent="0.35">
      <c r="A422" t="s">
        <v>694</v>
      </c>
      <c r="B422" t="s">
        <v>54</v>
      </c>
      <c r="C422" t="s">
        <v>11</v>
      </c>
      <c r="D422" t="s">
        <v>12</v>
      </c>
      <c r="E422" t="s">
        <v>90</v>
      </c>
      <c r="F422">
        <v>17</v>
      </c>
      <c r="G422">
        <v>141.72999999999999</v>
      </c>
      <c r="H422">
        <v>2409.41</v>
      </c>
      <c r="I422">
        <v>3.4</v>
      </c>
    </row>
    <row r="423" spans="1:9" x14ac:dyDescent="0.35">
      <c r="A423" t="s">
        <v>695</v>
      </c>
      <c r="B423" t="s">
        <v>173</v>
      </c>
      <c r="C423" t="s">
        <v>11</v>
      </c>
      <c r="D423" t="s">
        <v>12</v>
      </c>
      <c r="E423" t="s">
        <v>17</v>
      </c>
      <c r="F423">
        <v>8</v>
      </c>
      <c r="G423">
        <v>423.73</v>
      </c>
      <c r="H423">
        <v>3389.84</v>
      </c>
      <c r="I423">
        <v>4.4000000000000004</v>
      </c>
    </row>
    <row r="424" spans="1:9" x14ac:dyDescent="0.35">
      <c r="A424" t="s">
        <v>696</v>
      </c>
      <c r="B424" t="s">
        <v>356</v>
      </c>
      <c r="C424" t="s">
        <v>16</v>
      </c>
      <c r="D424" t="s">
        <v>19</v>
      </c>
      <c r="E424" t="s">
        <v>20</v>
      </c>
      <c r="F424">
        <v>7</v>
      </c>
      <c r="G424">
        <v>1063.31</v>
      </c>
      <c r="H424">
        <v>7443.17</v>
      </c>
      <c r="I424">
        <v>3.6</v>
      </c>
    </row>
    <row r="425" spans="1:9" x14ac:dyDescent="0.35">
      <c r="A425" t="s">
        <v>697</v>
      </c>
      <c r="B425" t="s">
        <v>147</v>
      </c>
      <c r="C425" t="s">
        <v>16</v>
      </c>
      <c r="D425" t="s">
        <v>24</v>
      </c>
      <c r="E425" t="s">
        <v>69</v>
      </c>
      <c r="F425">
        <v>7</v>
      </c>
      <c r="G425">
        <v>1025.1199999999999</v>
      </c>
      <c r="H425">
        <v>7175.84</v>
      </c>
      <c r="I425">
        <v>4.7</v>
      </c>
    </row>
    <row r="426" spans="1:9" x14ac:dyDescent="0.35">
      <c r="A426" t="s">
        <v>698</v>
      </c>
      <c r="B426" t="s">
        <v>699</v>
      </c>
      <c r="C426" t="s">
        <v>23</v>
      </c>
      <c r="D426" t="s">
        <v>12</v>
      </c>
      <c r="E426" t="s">
        <v>17</v>
      </c>
      <c r="F426">
        <v>21</v>
      </c>
      <c r="G426">
        <v>505.72</v>
      </c>
      <c r="H426">
        <v>10620.12</v>
      </c>
      <c r="I426">
        <v>3.1</v>
      </c>
    </row>
    <row r="427" spans="1:9" x14ac:dyDescent="0.35">
      <c r="A427" t="s">
        <v>700</v>
      </c>
      <c r="B427" t="s">
        <v>701</v>
      </c>
      <c r="C427" t="s">
        <v>38</v>
      </c>
      <c r="D427" t="s">
        <v>19</v>
      </c>
      <c r="E427" t="s">
        <v>28</v>
      </c>
      <c r="F427">
        <v>17</v>
      </c>
      <c r="G427">
        <v>1200.74</v>
      </c>
      <c r="H427">
        <v>20412.580000000002</v>
      </c>
      <c r="I427">
        <v>4.3</v>
      </c>
    </row>
    <row r="428" spans="1:9" x14ac:dyDescent="0.35">
      <c r="A428" t="s">
        <v>702</v>
      </c>
      <c r="B428" t="s">
        <v>565</v>
      </c>
      <c r="C428" t="s">
        <v>23</v>
      </c>
      <c r="D428" t="s">
        <v>12</v>
      </c>
      <c r="E428" t="s">
        <v>17</v>
      </c>
      <c r="F428">
        <v>16</v>
      </c>
      <c r="G428">
        <v>637.89</v>
      </c>
      <c r="H428">
        <v>10206.24</v>
      </c>
      <c r="I428">
        <v>3.8</v>
      </c>
    </row>
    <row r="429" spans="1:9" x14ac:dyDescent="0.35">
      <c r="A429" t="s">
        <v>703</v>
      </c>
      <c r="B429" t="s">
        <v>704</v>
      </c>
      <c r="C429" t="s">
        <v>16</v>
      </c>
      <c r="D429" t="s">
        <v>24</v>
      </c>
      <c r="E429" t="s">
        <v>69</v>
      </c>
      <c r="F429">
        <v>12</v>
      </c>
      <c r="G429">
        <v>1018.5</v>
      </c>
      <c r="H429">
        <v>12222</v>
      </c>
      <c r="I429">
        <v>3.6</v>
      </c>
    </row>
    <row r="430" spans="1:9" x14ac:dyDescent="0.35">
      <c r="A430" t="s">
        <v>705</v>
      </c>
      <c r="B430" t="s">
        <v>410</v>
      </c>
      <c r="C430" t="s">
        <v>38</v>
      </c>
      <c r="D430" t="s">
        <v>24</v>
      </c>
      <c r="E430" t="s">
        <v>69</v>
      </c>
      <c r="F430">
        <v>22</v>
      </c>
      <c r="G430">
        <v>1064.8699999999999</v>
      </c>
      <c r="H430">
        <v>23427.14</v>
      </c>
      <c r="I430">
        <v>3.1</v>
      </c>
    </row>
    <row r="431" spans="1:9" x14ac:dyDescent="0.35">
      <c r="A431" t="s">
        <v>706</v>
      </c>
      <c r="B431" t="s">
        <v>128</v>
      </c>
      <c r="C431" t="s">
        <v>16</v>
      </c>
      <c r="D431" t="s">
        <v>24</v>
      </c>
      <c r="E431" t="s">
        <v>69</v>
      </c>
      <c r="F431">
        <v>14</v>
      </c>
      <c r="G431">
        <v>591.64</v>
      </c>
      <c r="H431">
        <v>8282.9599999999991</v>
      </c>
      <c r="I431">
        <v>4.4000000000000004</v>
      </c>
    </row>
    <row r="432" spans="1:9" x14ac:dyDescent="0.35">
      <c r="A432" t="s">
        <v>707</v>
      </c>
      <c r="B432" t="s">
        <v>159</v>
      </c>
      <c r="C432" t="s">
        <v>11</v>
      </c>
      <c r="D432" t="s">
        <v>24</v>
      </c>
      <c r="E432" t="s">
        <v>25</v>
      </c>
      <c r="F432">
        <v>22</v>
      </c>
      <c r="G432">
        <v>1491.41</v>
      </c>
      <c r="H432">
        <v>32811.019999999997</v>
      </c>
      <c r="I432">
        <v>4.3</v>
      </c>
    </row>
    <row r="433" spans="1:9" x14ac:dyDescent="0.35">
      <c r="A433" t="s">
        <v>708</v>
      </c>
      <c r="B433" t="s">
        <v>709</v>
      </c>
      <c r="C433" t="s">
        <v>38</v>
      </c>
      <c r="D433" t="s">
        <v>24</v>
      </c>
      <c r="E433" t="s">
        <v>25</v>
      </c>
      <c r="F433">
        <v>5</v>
      </c>
      <c r="G433">
        <v>950.4</v>
      </c>
      <c r="H433">
        <v>4752</v>
      </c>
      <c r="I433">
        <v>3.1</v>
      </c>
    </row>
    <row r="434" spans="1:9" x14ac:dyDescent="0.35">
      <c r="A434" t="s">
        <v>710</v>
      </c>
      <c r="B434" t="s">
        <v>420</v>
      </c>
      <c r="C434" t="s">
        <v>11</v>
      </c>
      <c r="D434" t="s">
        <v>24</v>
      </c>
      <c r="E434" t="s">
        <v>25</v>
      </c>
      <c r="F434">
        <v>1</v>
      </c>
      <c r="G434">
        <v>118.96</v>
      </c>
      <c r="H434">
        <v>118.96</v>
      </c>
      <c r="I434">
        <v>3.2</v>
      </c>
    </row>
    <row r="435" spans="1:9" x14ac:dyDescent="0.35">
      <c r="A435" t="s">
        <v>711</v>
      </c>
      <c r="B435" t="s">
        <v>362</v>
      </c>
      <c r="C435" t="s">
        <v>38</v>
      </c>
      <c r="D435" t="s">
        <v>19</v>
      </c>
      <c r="E435" t="s">
        <v>31</v>
      </c>
      <c r="F435">
        <v>20</v>
      </c>
      <c r="G435">
        <v>643.45000000000005</v>
      </c>
      <c r="H435">
        <v>12869</v>
      </c>
      <c r="I435">
        <v>4.4000000000000004</v>
      </c>
    </row>
    <row r="436" spans="1:9" x14ac:dyDescent="0.35">
      <c r="A436" t="s">
        <v>712</v>
      </c>
      <c r="B436" t="s">
        <v>214</v>
      </c>
      <c r="C436" t="s">
        <v>11</v>
      </c>
      <c r="D436" t="s">
        <v>19</v>
      </c>
      <c r="E436" t="s">
        <v>28</v>
      </c>
      <c r="F436">
        <v>6</v>
      </c>
      <c r="G436">
        <v>1259.8900000000001</v>
      </c>
      <c r="H436">
        <v>7559.34</v>
      </c>
      <c r="I436">
        <v>4.2</v>
      </c>
    </row>
    <row r="437" spans="1:9" x14ac:dyDescent="0.35">
      <c r="A437" t="s">
        <v>713</v>
      </c>
      <c r="B437" t="s">
        <v>378</v>
      </c>
      <c r="C437" t="s">
        <v>16</v>
      </c>
      <c r="D437" t="s">
        <v>19</v>
      </c>
      <c r="E437" t="s">
        <v>28</v>
      </c>
      <c r="F437">
        <v>2</v>
      </c>
      <c r="G437">
        <v>666.66</v>
      </c>
      <c r="H437">
        <v>1333.32</v>
      </c>
      <c r="I437">
        <v>4.5999999999999996</v>
      </c>
    </row>
    <row r="438" spans="1:9" x14ac:dyDescent="0.35">
      <c r="A438" t="s">
        <v>714</v>
      </c>
      <c r="B438" t="s">
        <v>157</v>
      </c>
      <c r="C438" t="s">
        <v>38</v>
      </c>
      <c r="D438" t="s">
        <v>24</v>
      </c>
      <c r="E438" t="s">
        <v>69</v>
      </c>
      <c r="F438">
        <v>12</v>
      </c>
      <c r="G438">
        <v>533.05999999999995</v>
      </c>
      <c r="H438">
        <v>6396.72</v>
      </c>
      <c r="I438">
        <v>4.7</v>
      </c>
    </row>
    <row r="439" spans="1:9" x14ac:dyDescent="0.35">
      <c r="A439" t="s">
        <v>715</v>
      </c>
      <c r="B439" t="s">
        <v>186</v>
      </c>
      <c r="C439" t="s">
        <v>16</v>
      </c>
      <c r="D439" t="s">
        <v>24</v>
      </c>
      <c r="E439" t="s">
        <v>44</v>
      </c>
      <c r="F439">
        <v>7</v>
      </c>
      <c r="G439">
        <v>991.13</v>
      </c>
      <c r="H439">
        <v>6937.91</v>
      </c>
      <c r="I439">
        <v>3.4</v>
      </c>
    </row>
    <row r="440" spans="1:9" x14ac:dyDescent="0.35">
      <c r="A440" t="s">
        <v>716</v>
      </c>
      <c r="B440" t="s">
        <v>717</v>
      </c>
      <c r="C440" t="s">
        <v>38</v>
      </c>
      <c r="D440" t="s">
        <v>12</v>
      </c>
      <c r="E440" t="s">
        <v>90</v>
      </c>
      <c r="F440">
        <v>16</v>
      </c>
      <c r="G440">
        <v>1115.1500000000001</v>
      </c>
      <c r="H440">
        <v>17842.400000000001</v>
      </c>
      <c r="I440">
        <v>3.4</v>
      </c>
    </row>
    <row r="441" spans="1:9" x14ac:dyDescent="0.35">
      <c r="A441" t="s">
        <v>718</v>
      </c>
      <c r="B441" t="s">
        <v>719</v>
      </c>
      <c r="C441" t="s">
        <v>16</v>
      </c>
      <c r="D441" t="s">
        <v>12</v>
      </c>
      <c r="E441" t="s">
        <v>90</v>
      </c>
      <c r="F441">
        <v>16</v>
      </c>
      <c r="G441">
        <v>1240.01</v>
      </c>
      <c r="H441">
        <v>19840.16</v>
      </c>
      <c r="I441">
        <v>4.5</v>
      </c>
    </row>
    <row r="442" spans="1:9" x14ac:dyDescent="0.35">
      <c r="A442" t="s">
        <v>720</v>
      </c>
      <c r="B442" t="s">
        <v>184</v>
      </c>
      <c r="C442" t="s">
        <v>38</v>
      </c>
      <c r="D442" t="s">
        <v>12</v>
      </c>
      <c r="E442" t="s">
        <v>90</v>
      </c>
      <c r="F442">
        <v>2</v>
      </c>
      <c r="G442">
        <v>815.83</v>
      </c>
      <c r="H442">
        <v>1631.66</v>
      </c>
      <c r="I442">
        <v>4.3</v>
      </c>
    </row>
    <row r="443" spans="1:9" x14ac:dyDescent="0.35">
      <c r="A443" t="s">
        <v>721</v>
      </c>
      <c r="B443" t="s">
        <v>722</v>
      </c>
      <c r="C443" t="s">
        <v>23</v>
      </c>
      <c r="D443" t="s">
        <v>19</v>
      </c>
      <c r="E443" t="s">
        <v>31</v>
      </c>
      <c r="F443">
        <v>18</v>
      </c>
      <c r="G443">
        <v>531.41</v>
      </c>
      <c r="H443">
        <v>9565.3799999999992</v>
      </c>
      <c r="I443">
        <v>3.1</v>
      </c>
    </row>
    <row r="444" spans="1:9" x14ac:dyDescent="0.35">
      <c r="A444" t="s">
        <v>723</v>
      </c>
      <c r="B444" t="s">
        <v>626</v>
      </c>
      <c r="C444" t="s">
        <v>38</v>
      </c>
      <c r="D444" t="s">
        <v>19</v>
      </c>
      <c r="E444" t="s">
        <v>28</v>
      </c>
      <c r="F444">
        <v>21</v>
      </c>
      <c r="G444">
        <v>1234.3900000000001</v>
      </c>
      <c r="H444">
        <v>25922.19</v>
      </c>
      <c r="I444">
        <v>3.8</v>
      </c>
    </row>
    <row r="445" spans="1:9" x14ac:dyDescent="0.35">
      <c r="A445" t="s">
        <v>724</v>
      </c>
      <c r="B445" t="s">
        <v>436</v>
      </c>
      <c r="C445" t="s">
        <v>16</v>
      </c>
      <c r="D445" t="s">
        <v>19</v>
      </c>
      <c r="E445" t="s">
        <v>20</v>
      </c>
      <c r="F445">
        <v>19</v>
      </c>
      <c r="G445">
        <v>117</v>
      </c>
      <c r="H445">
        <v>2223</v>
      </c>
      <c r="I445">
        <v>4.2</v>
      </c>
    </row>
    <row r="446" spans="1:9" x14ac:dyDescent="0.35">
      <c r="A446" t="s">
        <v>725</v>
      </c>
      <c r="B446" t="s">
        <v>482</v>
      </c>
      <c r="C446" t="s">
        <v>23</v>
      </c>
      <c r="D446" t="s">
        <v>12</v>
      </c>
      <c r="E446" t="s">
        <v>17</v>
      </c>
      <c r="F446">
        <v>22</v>
      </c>
      <c r="G446">
        <v>282.88</v>
      </c>
      <c r="H446">
        <v>6223.36</v>
      </c>
      <c r="I446">
        <v>4.5999999999999996</v>
      </c>
    </row>
    <row r="447" spans="1:9" x14ac:dyDescent="0.35">
      <c r="A447" t="s">
        <v>726</v>
      </c>
      <c r="B447" t="s">
        <v>489</v>
      </c>
      <c r="C447" t="s">
        <v>23</v>
      </c>
      <c r="D447" t="s">
        <v>24</v>
      </c>
      <c r="E447" t="s">
        <v>69</v>
      </c>
      <c r="F447">
        <v>22</v>
      </c>
      <c r="G447">
        <v>800.58</v>
      </c>
      <c r="H447">
        <v>17612.759999999998</v>
      </c>
      <c r="I447">
        <v>4.5999999999999996</v>
      </c>
    </row>
    <row r="448" spans="1:9" x14ac:dyDescent="0.35">
      <c r="A448" t="s">
        <v>727</v>
      </c>
      <c r="B448" t="s">
        <v>295</v>
      </c>
      <c r="C448" t="s">
        <v>11</v>
      </c>
      <c r="D448" t="s">
        <v>19</v>
      </c>
      <c r="E448" t="s">
        <v>20</v>
      </c>
      <c r="F448">
        <v>15</v>
      </c>
      <c r="G448">
        <v>681.92</v>
      </c>
      <c r="H448">
        <v>10228.799999999999</v>
      </c>
      <c r="I448">
        <v>4.5999999999999996</v>
      </c>
    </row>
    <row r="449" spans="1:9" x14ac:dyDescent="0.35">
      <c r="A449" t="s">
        <v>728</v>
      </c>
      <c r="B449" t="s">
        <v>729</v>
      </c>
      <c r="C449" t="s">
        <v>38</v>
      </c>
      <c r="D449" t="s">
        <v>19</v>
      </c>
      <c r="E449" t="s">
        <v>28</v>
      </c>
      <c r="F449">
        <v>18</v>
      </c>
      <c r="G449">
        <v>828.63</v>
      </c>
      <c r="H449">
        <v>14915.34</v>
      </c>
      <c r="I449">
        <v>3.2</v>
      </c>
    </row>
    <row r="450" spans="1:9" x14ac:dyDescent="0.35">
      <c r="A450" t="s">
        <v>730</v>
      </c>
      <c r="B450" t="s">
        <v>731</v>
      </c>
      <c r="C450" t="s">
        <v>16</v>
      </c>
      <c r="D450" t="s">
        <v>24</v>
      </c>
      <c r="E450" t="s">
        <v>44</v>
      </c>
      <c r="F450">
        <v>10</v>
      </c>
      <c r="G450">
        <v>145.34</v>
      </c>
      <c r="H450">
        <v>1453.4</v>
      </c>
      <c r="I450">
        <v>4.0999999999999996</v>
      </c>
    </row>
    <row r="451" spans="1:9" x14ac:dyDescent="0.35">
      <c r="A451" t="s">
        <v>732</v>
      </c>
      <c r="B451" t="s">
        <v>349</v>
      </c>
      <c r="C451" t="s">
        <v>11</v>
      </c>
      <c r="D451" t="s">
        <v>24</v>
      </c>
      <c r="E451" t="s">
        <v>44</v>
      </c>
      <c r="F451">
        <v>9</v>
      </c>
      <c r="G451">
        <v>252.27</v>
      </c>
      <c r="H451">
        <v>2270.4299999999998</v>
      </c>
      <c r="I451">
        <v>3.2</v>
      </c>
    </row>
    <row r="452" spans="1:9" x14ac:dyDescent="0.35">
      <c r="A452" t="s">
        <v>733</v>
      </c>
      <c r="B452" t="s">
        <v>734</v>
      </c>
      <c r="C452" t="s">
        <v>16</v>
      </c>
      <c r="D452" t="s">
        <v>12</v>
      </c>
      <c r="E452" t="s">
        <v>17</v>
      </c>
      <c r="F452">
        <v>23</v>
      </c>
      <c r="G452">
        <v>483.09</v>
      </c>
      <c r="H452">
        <v>11111.07</v>
      </c>
      <c r="I452">
        <v>4.7</v>
      </c>
    </row>
    <row r="453" spans="1:9" x14ac:dyDescent="0.35">
      <c r="A453" t="s">
        <v>735</v>
      </c>
      <c r="B453" t="s">
        <v>413</v>
      </c>
      <c r="C453" t="s">
        <v>16</v>
      </c>
      <c r="D453" t="s">
        <v>12</v>
      </c>
      <c r="E453" t="s">
        <v>17</v>
      </c>
      <c r="F453">
        <v>9</v>
      </c>
      <c r="G453">
        <v>1355.34</v>
      </c>
      <c r="H453">
        <v>12198.06</v>
      </c>
      <c r="I453">
        <v>3</v>
      </c>
    </row>
    <row r="454" spans="1:9" x14ac:dyDescent="0.35">
      <c r="A454" t="s">
        <v>736</v>
      </c>
      <c r="B454" t="s">
        <v>737</v>
      </c>
      <c r="C454" t="s">
        <v>11</v>
      </c>
      <c r="D454" t="s">
        <v>19</v>
      </c>
      <c r="E454" t="s">
        <v>28</v>
      </c>
      <c r="F454">
        <v>9</v>
      </c>
      <c r="G454">
        <v>1318.71</v>
      </c>
      <c r="H454">
        <v>11868.39</v>
      </c>
      <c r="I454">
        <v>4.2</v>
      </c>
    </row>
    <row r="455" spans="1:9" x14ac:dyDescent="0.35">
      <c r="A455" t="s">
        <v>738</v>
      </c>
      <c r="B455" t="s">
        <v>50</v>
      </c>
      <c r="C455" t="s">
        <v>23</v>
      </c>
      <c r="D455" t="s">
        <v>24</v>
      </c>
      <c r="E455" t="s">
        <v>44</v>
      </c>
      <c r="F455">
        <v>10</v>
      </c>
      <c r="G455">
        <v>1134.02</v>
      </c>
      <c r="H455">
        <v>11340.2</v>
      </c>
      <c r="I455">
        <v>4.5999999999999996</v>
      </c>
    </row>
    <row r="456" spans="1:9" x14ac:dyDescent="0.35">
      <c r="A456" t="s">
        <v>739</v>
      </c>
      <c r="B456" t="s">
        <v>740</v>
      </c>
      <c r="C456" t="s">
        <v>23</v>
      </c>
      <c r="D456" t="s">
        <v>12</v>
      </c>
      <c r="E456" t="s">
        <v>17</v>
      </c>
      <c r="F456">
        <v>17</v>
      </c>
      <c r="G456">
        <v>705.44</v>
      </c>
      <c r="H456">
        <v>11992.48</v>
      </c>
      <c r="I456">
        <v>4.0999999999999996</v>
      </c>
    </row>
    <row r="457" spans="1:9" x14ac:dyDescent="0.35">
      <c r="A457" t="s">
        <v>741</v>
      </c>
      <c r="B457" t="s">
        <v>540</v>
      </c>
      <c r="C457" t="s">
        <v>11</v>
      </c>
      <c r="D457" t="s">
        <v>24</v>
      </c>
      <c r="E457" t="s">
        <v>25</v>
      </c>
      <c r="F457">
        <v>20</v>
      </c>
      <c r="G457">
        <v>1380.16</v>
      </c>
      <c r="H457">
        <v>27603.200000000001</v>
      </c>
      <c r="I457">
        <v>3.2</v>
      </c>
    </row>
    <row r="458" spans="1:9" x14ac:dyDescent="0.35">
      <c r="A458" t="s">
        <v>742</v>
      </c>
      <c r="B458" t="s">
        <v>103</v>
      </c>
      <c r="C458" t="s">
        <v>23</v>
      </c>
      <c r="D458" t="s">
        <v>19</v>
      </c>
      <c r="E458" t="s">
        <v>31</v>
      </c>
      <c r="F458">
        <v>19</v>
      </c>
      <c r="G458">
        <v>333.67</v>
      </c>
      <c r="H458">
        <v>6339.73</v>
      </c>
      <c r="I458">
        <v>3.1</v>
      </c>
    </row>
    <row r="459" spans="1:9" x14ac:dyDescent="0.35">
      <c r="A459" t="s">
        <v>743</v>
      </c>
      <c r="B459" t="s">
        <v>459</v>
      </c>
      <c r="C459" t="s">
        <v>11</v>
      </c>
      <c r="D459" t="s">
        <v>24</v>
      </c>
      <c r="E459" t="s">
        <v>25</v>
      </c>
      <c r="F459">
        <v>22</v>
      </c>
      <c r="G459">
        <v>1484.19</v>
      </c>
      <c r="H459">
        <v>32652.18</v>
      </c>
      <c r="I459">
        <v>3.4</v>
      </c>
    </row>
    <row r="460" spans="1:9" x14ac:dyDescent="0.35">
      <c r="A460" t="s">
        <v>744</v>
      </c>
      <c r="B460" t="s">
        <v>745</v>
      </c>
      <c r="C460" t="s">
        <v>38</v>
      </c>
      <c r="D460" t="s">
        <v>12</v>
      </c>
      <c r="E460" t="s">
        <v>17</v>
      </c>
      <c r="F460">
        <v>3</v>
      </c>
      <c r="G460">
        <v>428.98</v>
      </c>
      <c r="H460">
        <v>1286.94</v>
      </c>
      <c r="I460">
        <v>3</v>
      </c>
    </row>
    <row r="461" spans="1:9" x14ac:dyDescent="0.35">
      <c r="A461" t="s">
        <v>746</v>
      </c>
      <c r="B461" t="s">
        <v>662</v>
      </c>
      <c r="C461" t="s">
        <v>23</v>
      </c>
      <c r="D461" t="s">
        <v>19</v>
      </c>
      <c r="E461" t="s">
        <v>31</v>
      </c>
      <c r="F461">
        <v>22</v>
      </c>
      <c r="G461">
        <v>103.4</v>
      </c>
      <c r="H461">
        <v>2274.8000000000002</v>
      </c>
      <c r="I461">
        <v>4.5999999999999996</v>
      </c>
    </row>
    <row r="462" spans="1:9" x14ac:dyDescent="0.35">
      <c r="A462" t="s">
        <v>747</v>
      </c>
      <c r="B462" t="s">
        <v>748</v>
      </c>
      <c r="C462" t="s">
        <v>23</v>
      </c>
      <c r="D462" t="s">
        <v>12</v>
      </c>
      <c r="E462" t="s">
        <v>90</v>
      </c>
      <c r="F462">
        <v>17</v>
      </c>
      <c r="G462">
        <v>1097.3399999999999</v>
      </c>
      <c r="H462">
        <v>18654.78</v>
      </c>
      <c r="I462">
        <v>3.5</v>
      </c>
    </row>
    <row r="463" spans="1:9" x14ac:dyDescent="0.35">
      <c r="A463" t="s">
        <v>749</v>
      </c>
      <c r="B463" t="s">
        <v>750</v>
      </c>
      <c r="C463" t="s">
        <v>23</v>
      </c>
      <c r="D463" t="s">
        <v>19</v>
      </c>
      <c r="E463" t="s">
        <v>31</v>
      </c>
      <c r="F463">
        <v>23</v>
      </c>
      <c r="G463">
        <v>1263.28</v>
      </c>
      <c r="H463">
        <v>29055.439999999999</v>
      </c>
      <c r="I463">
        <v>4.5</v>
      </c>
    </row>
    <row r="464" spans="1:9" x14ac:dyDescent="0.35">
      <c r="A464" t="s">
        <v>751</v>
      </c>
      <c r="B464" t="s">
        <v>482</v>
      </c>
      <c r="C464" t="s">
        <v>23</v>
      </c>
      <c r="D464" t="s">
        <v>12</v>
      </c>
      <c r="E464" t="s">
        <v>17</v>
      </c>
      <c r="F464">
        <v>2</v>
      </c>
      <c r="G464">
        <v>799.03</v>
      </c>
      <c r="H464">
        <v>1598.06</v>
      </c>
      <c r="I464">
        <v>4.5999999999999996</v>
      </c>
    </row>
    <row r="465" spans="1:9" x14ac:dyDescent="0.35">
      <c r="A465" t="s">
        <v>752</v>
      </c>
      <c r="B465" t="s">
        <v>583</v>
      </c>
      <c r="C465" t="s">
        <v>16</v>
      </c>
      <c r="D465" t="s">
        <v>19</v>
      </c>
      <c r="E465" t="s">
        <v>28</v>
      </c>
      <c r="F465">
        <v>1</v>
      </c>
      <c r="G465">
        <v>1083.8800000000001</v>
      </c>
      <c r="H465">
        <v>1083.8800000000001</v>
      </c>
      <c r="I465">
        <v>3.9</v>
      </c>
    </row>
    <row r="466" spans="1:9" x14ac:dyDescent="0.35">
      <c r="A466" t="s">
        <v>753</v>
      </c>
      <c r="B466" t="s">
        <v>754</v>
      </c>
      <c r="C466" t="s">
        <v>11</v>
      </c>
      <c r="D466" t="s">
        <v>12</v>
      </c>
      <c r="E466" t="s">
        <v>17</v>
      </c>
      <c r="F466">
        <v>24</v>
      </c>
      <c r="G466">
        <v>140.96</v>
      </c>
      <c r="H466">
        <v>3383.04</v>
      </c>
      <c r="I466">
        <v>4.4000000000000004</v>
      </c>
    </row>
    <row r="467" spans="1:9" x14ac:dyDescent="0.35">
      <c r="A467" t="s">
        <v>755</v>
      </c>
      <c r="B467" t="s">
        <v>233</v>
      </c>
      <c r="C467" t="s">
        <v>38</v>
      </c>
      <c r="D467" t="s">
        <v>19</v>
      </c>
      <c r="E467" t="s">
        <v>28</v>
      </c>
      <c r="F467">
        <v>23</v>
      </c>
      <c r="G467">
        <v>857.23</v>
      </c>
      <c r="H467">
        <v>19716.29</v>
      </c>
      <c r="I467">
        <v>3.2</v>
      </c>
    </row>
    <row r="468" spans="1:9" x14ac:dyDescent="0.35">
      <c r="A468" t="s">
        <v>756</v>
      </c>
      <c r="B468" t="s">
        <v>569</v>
      </c>
      <c r="C468" t="s">
        <v>38</v>
      </c>
      <c r="D468" t="s">
        <v>12</v>
      </c>
      <c r="E468" t="s">
        <v>17</v>
      </c>
      <c r="F468">
        <v>8</v>
      </c>
      <c r="G468">
        <v>1281</v>
      </c>
      <c r="H468">
        <v>10248</v>
      </c>
      <c r="I468">
        <v>3.8</v>
      </c>
    </row>
    <row r="469" spans="1:9" x14ac:dyDescent="0.35">
      <c r="A469" t="s">
        <v>757</v>
      </c>
      <c r="B469" t="s">
        <v>758</v>
      </c>
      <c r="C469" t="s">
        <v>11</v>
      </c>
      <c r="D469" t="s">
        <v>12</v>
      </c>
      <c r="E469" t="s">
        <v>90</v>
      </c>
      <c r="F469">
        <v>10</v>
      </c>
      <c r="G469">
        <v>590.64</v>
      </c>
      <c r="H469">
        <v>5906.4</v>
      </c>
      <c r="I469">
        <v>4.9000000000000004</v>
      </c>
    </row>
    <row r="470" spans="1:9" x14ac:dyDescent="0.35">
      <c r="A470" t="s">
        <v>759</v>
      </c>
      <c r="B470" t="s">
        <v>66</v>
      </c>
      <c r="C470" t="s">
        <v>23</v>
      </c>
      <c r="D470" t="s">
        <v>12</v>
      </c>
      <c r="E470" t="s">
        <v>13</v>
      </c>
      <c r="F470">
        <v>19</v>
      </c>
      <c r="G470">
        <v>734.94</v>
      </c>
      <c r="H470">
        <v>13963.86</v>
      </c>
      <c r="I470">
        <v>3.9</v>
      </c>
    </row>
    <row r="471" spans="1:9" x14ac:dyDescent="0.35">
      <c r="A471" t="s">
        <v>760</v>
      </c>
      <c r="B471" t="s">
        <v>761</v>
      </c>
      <c r="C471" t="s">
        <v>23</v>
      </c>
      <c r="D471" t="s">
        <v>19</v>
      </c>
      <c r="E471" t="s">
        <v>28</v>
      </c>
      <c r="F471">
        <v>6</v>
      </c>
      <c r="G471">
        <v>1125.1400000000001</v>
      </c>
      <c r="H471">
        <v>6750.84</v>
      </c>
      <c r="I471">
        <v>4.8</v>
      </c>
    </row>
    <row r="472" spans="1:9" x14ac:dyDescent="0.35">
      <c r="A472" t="s">
        <v>762</v>
      </c>
      <c r="B472" t="s">
        <v>145</v>
      </c>
      <c r="C472" t="s">
        <v>23</v>
      </c>
      <c r="D472" t="s">
        <v>12</v>
      </c>
      <c r="E472" t="s">
        <v>17</v>
      </c>
      <c r="F472">
        <v>6</v>
      </c>
      <c r="G472">
        <v>97</v>
      </c>
      <c r="H472">
        <v>582</v>
      </c>
      <c r="I472">
        <v>3.5</v>
      </c>
    </row>
    <row r="473" spans="1:9" x14ac:dyDescent="0.35">
      <c r="A473" t="s">
        <v>763</v>
      </c>
      <c r="B473" t="s">
        <v>274</v>
      </c>
      <c r="C473" t="s">
        <v>16</v>
      </c>
      <c r="D473" t="s">
        <v>24</v>
      </c>
      <c r="E473" t="s">
        <v>69</v>
      </c>
      <c r="F473">
        <v>19</v>
      </c>
      <c r="G473">
        <v>1341.82</v>
      </c>
      <c r="H473">
        <v>25494.58</v>
      </c>
      <c r="I473">
        <v>4.8</v>
      </c>
    </row>
    <row r="474" spans="1:9" x14ac:dyDescent="0.35">
      <c r="A474" t="s">
        <v>764</v>
      </c>
      <c r="B474" t="s">
        <v>286</v>
      </c>
      <c r="C474" t="s">
        <v>16</v>
      </c>
      <c r="D474" t="s">
        <v>24</v>
      </c>
      <c r="E474" t="s">
        <v>69</v>
      </c>
      <c r="F474">
        <v>17</v>
      </c>
      <c r="G474">
        <v>816.26</v>
      </c>
      <c r="H474">
        <v>13876.42</v>
      </c>
      <c r="I474">
        <v>4.5</v>
      </c>
    </row>
    <row r="475" spans="1:9" x14ac:dyDescent="0.35">
      <c r="A475" t="s">
        <v>765</v>
      </c>
      <c r="B475" t="s">
        <v>766</v>
      </c>
      <c r="C475" t="s">
        <v>11</v>
      </c>
      <c r="D475" t="s">
        <v>12</v>
      </c>
      <c r="E475" t="s">
        <v>17</v>
      </c>
      <c r="F475">
        <v>3</v>
      </c>
      <c r="G475">
        <v>833.66</v>
      </c>
      <c r="H475">
        <v>2500.98</v>
      </c>
      <c r="I475">
        <v>4.3</v>
      </c>
    </row>
    <row r="476" spans="1:9" x14ac:dyDescent="0.35">
      <c r="A476" t="s">
        <v>767</v>
      </c>
      <c r="B476" t="s">
        <v>345</v>
      </c>
      <c r="C476" t="s">
        <v>16</v>
      </c>
      <c r="D476" t="s">
        <v>19</v>
      </c>
      <c r="E476" t="s">
        <v>20</v>
      </c>
      <c r="F476">
        <v>12</v>
      </c>
      <c r="G476">
        <v>1185.71</v>
      </c>
      <c r="H476">
        <v>14228.52</v>
      </c>
      <c r="I476">
        <v>4.5999999999999996</v>
      </c>
    </row>
    <row r="477" spans="1:9" x14ac:dyDescent="0.35">
      <c r="A477" t="s">
        <v>768</v>
      </c>
      <c r="B477" t="s">
        <v>719</v>
      </c>
      <c r="C477" t="s">
        <v>11</v>
      </c>
      <c r="D477" t="s">
        <v>12</v>
      </c>
      <c r="E477" t="s">
        <v>13</v>
      </c>
      <c r="F477">
        <v>9</v>
      </c>
      <c r="G477">
        <v>1404.54</v>
      </c>
      <c r="H477">
        <v>12640.86</v>
      </c>
      <c r="I477">
        <v>4.2</v>
      </c>
    </row>
    <row r="478" spans="1:9" x14ac:dyDescent="0.35">
      <c r="A478" t="s">
        <v>769</v>
      </c>
      <c r="B478" t="s">
        <v>167</v>
      </c>
      <c r="C478" t="s">
        <v>38</v>
      </c>
      <c r="D478" t="s">
        <v>12</v>
      </c>
      <c r="E478" t="s">
        <v>13</v>
      </c>
      <c r="F478">
        <v>22</v>
      </c>
      <c r="G478">
        <v>1426.62</v>
      </c>
      <c r="H478">
        <v>31385.64</v>
      </c>
      <c r="I478">
        <v>4.5999999999999996</v>
      </c>
    </row>
    <row r="479" spans="1:9" x14ac:dyDescent="0.35">
      <c r="A479" t="s">
        <v>770</v>
      </c>
      <c r="B479" t="s">
        <v>639</v>
      </c>
      <c r="C479" t="s">
        <v>16</v>
      </c>
      <c r="D479" t="s">
        <v>24</v>
      </c>
      <c r="E479" t="s">
        <v>69</v>
      </c>
      <c r="F479">
        <v>6</v>
      </c>
      <c r="G479">
        <v>912.98</v>
      </c>
      <c r="H479">
        <v>5477.88</v>
      </c>
      <c r="I479">
        <v>4.8</v>
      </c>
    </row>
    <row r="480" spans="1:9" x14ac:dyDescent="0.35">
      <c r="A480" t="s">
        <v>771</v>
      </c>
      <c r="B480" t="s">
        <v>772</v>
      </c>
      <c r="C480" t="s">
        <v>23</v>
      </c>
      <c r="D480" t="s">
        <v>12</v>
      </c>
      <c r="E480" t="s">
        <v>90</v>
      </c>
      <c r="F480">
        <v>17</v>
      </c>
      <c r="G480">
        <v>455.09</v>
      </c>
      <c r="H480">
        <v>7736.53</v>
      </c>
      <c r="I480">
        <v>3.3</v>
      </c>
    </row>
    <row r="481" spans="1:9" x14ac:dyDescent="0.35">
      <c r="A481" t="s">
        <v>773</v>
      </c>
      <c r="B481" t="s">
        <v>745</v>
      </c>
      <c r="C481" t="s">
        <v>11</v>
      </c>
      <c r="D481" t="s">
        <v>19</v>
      </c>
      <c r="E481" t="s">
        <v>20</v>
      </c>
      <c r="F481">
        <v>23</v>
      </c>
      <c r="G481">
        <v>378.28</v>
      </c>
      <c r="H481">
        <v>8700.44</v>
      </c>
      <c r="I481">
        <v>4.5999999999999996</v>
      </c>
    </row>
    <row r="482" spans="1:9" x14ac:dyDescent="0.35">
      <c r="A482" t="s">
        <v>774</v>
      </c>
      <c r="B482" t="s">
        <v>173</v>
      </c>
      <c r="C482" t="s">
        <v>38</v>
      </c>
      <c r="D482" t="s">
        <v>19</v>
      </c>
      <c r="E482" t="s">
        <v>20</v>
      </c>
      <c r="F482">
        <v>17</v>
      </c>
      <c r="G482">
        <v>814.22</v>
      </c>
      <c r="H482">
        <v>13841.74</v>
      </c>
      <c r="I482">
        <v>3.8</v>
      </c>
    </row>
    <row r="483" spans="1:9" x14ac:dyDescent="0.35">
      <c r="A483" t="s">
        <v>775</v>
      </c>
      <c r="B483" t="s">
        <v>776</v>
      </c>
      <c r="C483" t="s">
        <v>16</v>
      </c>
      <c r="D483" t="s">
        <v>24</v>
      </c>
      <c r="E483" t="s">
        <v>44</v>
      </c>
      <c r="F483">
        <v>12</v>
      </c>
      <c r="G483">
        <v>1458</v>
      </c>
      <c r="H483">
        <v>17496</v>
      </c>
      <c r="I483">
        <v>4</v>
      </c>
    </row>
    <row r="484" spans="1:9" x14ac:dyDescent="0.35">
      <c r="A484" t="s">
        <v>777</v>
      </c>
      <c r="B484" t="s">
        <v>778</v>
      </c>
      <c r="C484" t="s">
        <v>11</v>
      </c>
      <c r="D484" t="s">
        <v>19</v>
      </c>
      <c r="E484" t="s">
        <v>28</v>
      </c>
      <c r="F484">
        <v>19</v>
      </c>
      <c r="G484">
        <v>568.4</v>
      </c>
      <c r="H484">
        <v>10799.6</v>
      </c>
      <c r="I484">
        <v>3.6</v>
      </c>
    </row>
    <row r="485" spans="1:9" x14ac:dyDescent="0.35">
      <c r="A485" t="s">
        <v>779</v>
      </c>
      <c r="B485" t="s">
        <v>413</v>
      </c>
      <c r="C485" t="s">
        <v>16</v>
      </c>
      <c r="D485" t="s">
        <v>12</v>
      </c>
      <c r="E485" t="s">
        <v>17</v>
      </c>
      <c r="F485">
        <v>20</v>
      </c>
      <c r="G485">
        <v>1392.8</v>
      </c>
      <c r="H485">
        <v>27856</v>
      </c>
      <c r="I485">
        <v>3.4</v>
      </c>
    </row>
    <row r="486" spans="1:9" x14ac:dyDescent="0.35">
      <c r="A486" t="s">
        <v>780</v>
      </c>
      <c r="B486" t="s">
        <v>165</v>
      </c>
      <c r="C486" t="s">
        <v>23</v>
      </c>
      <c r="D486" t="s">
        <v>19</v>
      </c>
      <c r="E486" t="s">
        <v>20</v>
      </c>
      <c r="F486">
        <v>23</v>
      </c>
      <c r="G486">
        <v>1483.05</v>
      </c>
      <c r="H486">
        <v>34110.15</v>
      </c>
      <c r="I486">
        <v>4.5999999999999996</v>
      </c>
    </row>
    <row r="487" spans="1:9" x14ac:dyDescent="0.35">
      <c r="A487" t="s">
        <v>781</v>
      </c>
      <c r="B487" t="s">
        <v>10</v>
      </c>
      <c r="C487" t="s">
        <v>23</v>
      </c>
      <c r="D487" t="s">
        <v>12</v>
      </c>
      <c r="E487" t="s">
        <v>17</v>
      </c>
      <c r="F487">
        <v>9</v>
      </c>
      <c r="G487">
        <v>950.6</v>
      </c>
      <c r="H487">
        <v>8555.4</v>
      </c>
      <c r="I487">
        <v>4.7</v>
      </c>
    </row>
    <row r="488" spans="1:9" x14ac:dyDescent="0.35">
      <c r="A488" t="s">
        <v>782</v>
      </c>
      <c r="B488" t="s">
        <v>312</v>
      </c>
      <c r="C488" t="s">
        <v>38</v>
      </c>
      <c r="D488" t="s">
        <v>24</v>
      </c>
      <c r="E488" t="s">
        <v>69</v>
      </c>
      <c r="F488">
        <v>11</v>
      </c>
      <c r="G488">
        <v>201.81</v>
      </c>
      <c r="H488">
        <v>2219.91</v>
      </c>
      <c r="I488">
        <v>3.9</v>
      </c>
    </row>
    <row r="489" spans="1:9" x14ac:dyDescent="0.35">
      <c r="A489" t="s">
        <v>783</v>
      </c>
      <c r="B489" t="s">
        <v>631</v>
      </c>
      <c r="C489" t="s">
        <v>23</v>
      </c>
      <c r="D489" t="s">
        <v>24</v>
      </c>
      <c r="E489" t="s">
        <v>69</v>
      </c>
      <c r="F489">
        <v>5</v>
      </c>
      <c r="G489">
        <v>804.68</v>
      </c>
      <c r="H489">
        <v>4023.4</v>
      </c>
      <c r="I489">
        <v>4.4000000000000004</v>
      </c>
    </row>
    <row r="490" spans="1:9" x14ac:dyDescent="0.35">
      <c r="A490" t="s">
        <v>784</v>
      </c>
      <c r="B490" t="s">
        <v>233</v>
      </c>
      <c r="C490" t="s">
        <v>23</v>
      </c>
      <c r="D490" t="s">
        <v>12</v>
      </c>
      <c r="E490" t="s">
        <v>90</v>
      </c>
      <c r="F490">
        <v>20</v>
      </c>
      <c r="G490">
        <v>418.24</v>
      </c>
      <c r="H490">
        <v>8364.7999999999993</v>
      </c>
      <c r="I490">
        <v>4.8</v>
      </c>
    </row>
    <row r="491" spans="1:9" x14ac:dyDescent="0.35">
      <c r="A491" t="s">
        <v>785</v>
      </c>
      <c r="B491" t="s">
        <v>383</v>
      </c>
      <c r="C491" t="s">
        <v>38</v>
      </c>
      <c r="D491" t="s">
        <v>12</v>
      </c>
      <c r="E491" t="s">
        <v>90</v>
      </c>
      <c r="F491">
        <v>4</v>
      </c>
      <c r="G491">
        <v>784.67</v>
      </c>
      <c r="H491">
        <v>3138.68</v>
      </c>
      <c r="I491">
        <v>4.4000000000000004</v>
      </c>
    </row>
    <row r="492" spans="1:9" x14ac:dyDescent="0.35">
      <c r="A492" t="s">
        <v>786</v>
      </c>
      <c r="B492" t="s">
        <v>447</v>
      </c>
      <c r="C492" t="s">
        <v>38</v>
      </c>
      <c r="D492" t="s">
        <v>24</v>
      </c>
      <c r="E492" t="s">
        <v>69</v>
      </c>
      <c r="F492">
        <v>13</v>
      </c>
      <c r="G492">
        <v>89.16</v>
      </c>
      <c r="H492">
        <v>1159.08</v>
      </c>
      <c r="I492">
        <v>4.9000000000000004</v>
      </c>
    </row>
    <row r="493" spans="1:9" x14ac:dyDescent="0.35">
      <c r="A493" t="s">
        <v>787</v>
      </c>
      <c r="B493" t="s">
        <v>788</v>
      </c>
      <c r="C493" t="s">
        <v>23</v>
      </c>
      <c r="D493" t="s">
        <v>19</v>
      </c>
      <c r="E493" t="s">
        <v>28</v>
      </c>
      <c r="F493">
        <v>3</v>
      </c>
      <c r="G493">
        <v>966.74</v>
      </c>
      <c r="H493">
        <v>2900.22</v>
      </c>
      <c r="I493">
        <v>4.5</v>
      </c>
    </row>
    <row r="494" spans="1:9" x14ac:dyDescent="0.35">
      <c r="A494" t="s">
        <v>789</v>
      </c>
      <c r="B494" t="s">
        <v>112</v>
      </c>
      <c r="C494" t="s">
        <v>16</v>
      </c>
      <c r="D494" t="s">
        <v>24</v>
      </c>
      <c r="E494" t="s">
        <v>44</v>
      </c>
      <c r="F494">
        <v>15</v>
      </c>
      <c r="G494">
        <v>387.29</v>
      </c>
      <c r="H494">
        <v>5809.35</v>
      </c>
      <c r="I494">
        <v>3</v>
      </c>
    </row>
    <row r="495" spans="1:9" x14ac:dyDescent="0.35">
      <c r="A495" t="s">
        <v>790</v>
      </c>
      <c r="B495" t="s">
        <v>413</v>
      </c>
      <c r="C495" t="s">
        <v>23</v>
      </c>
      <c r="D495" t="s">
        <v>19</v>
      </c>
      <c r="E495" t="s">
        <v>20</v>
      </c>
      <c r="F495">
        <v>2</v>
      </c>
      <c r="G495">
        <v>351.34</v>
      </c>
      <c r="H495">
        <v>702.68</v>
      </c>
      <c r="I495">
        <v>3.3</v>
      </c>
    </row>
    <row r="496" spans="1:9" x14ac:dyDescent="0.35">
      <c r="A496" t="s">
        <v>791</v>
      </c>
      <c r="B496" t="s">
        <v>516</v>
      </c>
      <c r="C496" t="s">
        <v>38</v>
      </c>
      <c r="D496" t="s">
        <v>12</v>
      </c>
      <c r="E496" t="s">
        <v>17</v>
      </c>
      <c r="F496">
        <v>8</v>
      </c>
      <c r="G496">
        <v>1124.8900000000001</v>
      </c>
      <c r="H496">
        <v>8999.1200000000008</v>
      </c>
      <c r="I496">
        <v>4.7</v>
      </c>
    </row>
    <row r="497" spans="1:9" x14ac:dyDescent="0.35">
      <c r="A497" t="s">
        <v>792</v>
      </c>
      <c r="B497" t="s">
        <v>530</v>
      </c>
      <c r="C497" t="s">
        <v>38</v>
      </c>
      <c r="D497" t="s">
        <v>24</v>
      </c>
      <c r="E497" t="s">
        <v>69</v>
      </c>
      <c r="F497">
        <v>21</v>
      </c>
      <c r="G497">
        <v>664.1</v>
      </c>
      <c r="H497">
        <v>13946.1</v>
      </c>
      <c r="I497">
        <v>3.9</v>
      </c>
    </row>
    <row r="498" spans="1:9" x14ac:dyDescent="0.35">
      <c r="A498" t="s">
        <v>793</v>
      </c>
      <c r="B498" t="s">
        <v>794</v>
      </c>
      <c r="C498" t="s">
        <v>16</v>
      </c>
      <c r="D498" t="s">
        <v>24</v>
      </c>
      <c r="E498" t="s">
        <v>44</v>
      </c>
      <c r="F498">
        <v>19</v>
      </c>
      <c r="G498">
        <v>743.08</v>
      </c>
      <c r="H498">
        <v>14118.52</v>
      </c>
      <c r="I498">
        <v>3.7</v>
      </c>
    </row>
    <row r="499" spans="1:9" x14ac:dyDescent="0.35">
      <c r="A499" t="s">
        <v>795</v>
      </c>
      <c r="B499" t="s">
        <v>796</v>
      </c>
      <c r="C499" t="s">
        <v>16</v>
      </c>
      <c r="D499" t="s">
        <v>12</v>
      </c>
      <c r="E499" t="s">
        <v>90</v>
      </c>
      <c r="F499">
        <v>4</v>
      </c>
      <c r="G499">
        <v>71.819999999999993</v>
      </c>
      <c r="H499">
        <v>287.27999999999997</v>
      </c>
      <c r="I499">
        <v>4.2</v>
      </c>
    </row>
    <row r="500" spans="1:9" x14ac:dyDescent="0.35">
      <c r="A500" t="s">
        <v>797</v>
      </c>
      <c r="B500" t="s">
        <v>487</v>
      </c>
      <c r="C500" t="s">
        <v>23</v>
      </c>
      <c r="D500" t="s">
        <v>19</v>
      </c>
      <c r="E500" t="s">
        <v>20</v>
      </c>
      <c r="F500">
        <v>19</v>
      </c>
      <c r="G500">
        <v>1119.42</v>
      </c>
      <c r="H500">
        <v>21268.98</v>
      </c>
      <c r="I500">
        <v>3.2</v>
      </c>
    </row>
    <row r="501" spans="1:9" x14ac:dyDescent="0.35">
      <c r="A501" t="s">
        <v>798</v>
      </c>
      <c r="B501" t="s">
        <v>799</v>
      </c>
      <c r="C501" t="s">
        <v>23</v>
      </c>
      <c r="D501" t="s">
        <v>24</v>
      </c>
      <c r="E501" t="s">
        <v>69</v>
      </c>
      <c r="F501">
        <v>10</v>
      </c>
      <c r="G501">
        <v>1177.8399999999999</v>
      </c>
      <c r="H501">
        <v>11778.4</v>
      </c>
      <c r="I501">
        <v>3.5</v>
      </c>
    </row>
    <row r="502" spans="1:9" x14ac:dyDescent="0.35">
      <c r="A502" t="s">
        <v>800</v>
      </c>
      <c r="B502" t="s">
        <v>196</v>
      </c>
      <c r="C502" t="s">
        <v>11</v>
      </c>
      <c r="D502" t="s">
        <v>19</v>
      </c>
      <c r="E502" t="s">
        <v>20</v>
      </c>
      <c r="F502">
        <v>15</v>
      </c>
      <c r="G502">
        <v>763.22</v>
      </c>
      <c r="H502">
        <v>11448.3</v>
      </c>
      <c r="I502">
        <v>5</v>
      </c>
    </row>
    <row r="503" spans="1:9" x14ac:dyDescent="0.35">
      <c r="A503" t="s">
        <v>801</v>
      </c>
      <c r="B503" t="s">
        <v>264</v>
      </c>
      <c r="C503" t="s">
        <v>23</v>
      </c>
      <c r="D503" t="s">
        <v>12</v>
      </c>
      <c r="E503" t="s">
        <v>90</v>
      </c>
      <c r="F503">
        <v>11</v>
      </c>
      <c r="G503">
        <v>673.19</v>
      </c>
      <c r="H503">
        <v>7405.09</v>
      </c>
      <c r="I503">
        <v>3.1</v>
      </c>
    </row>
    <row r="504" spans="1:9" x14ac:dyDescent="0.35">
      <c r="A504" t="s">
        <v>802</v>
      </c>
      <c r="B504" t="s">
        <v>281</v>
      </c>
      <c r="C504" t="s">
        <v>38</v>
      </c>
      <c r="D504" t="s">
        <v>19</v>
      </c>
      <c r="E504" t="s">
        <v>20</v>
      </c>
      <c r="F504">
        <v>1</v>
      </c>
      <c r="G504">
        <v>1265.9000000000001</v>
      </c>
      <c r="H504">
        <v>1265.9000000000001</v>
      </c>
      <c r="I504">
        <v>4.4000000000000004</v>
      </c>
    </row>
    <row r="505" spans="1:9" x14ac:dyDescent="0.35">
      <c r="A505" t="s">
        <v>803</v>
      </c>
      <c r="B505" t="s">
        <v>308</v>
      </c>
      <c r="C505" t="s">
        <v>11</v>
      </c>
      <c r="D505" t="s">
        <v>12</v>
      </c>
      <c r="E505" t="s">
        <v>17</v>
      </c>
      <c r="F505">
        <v>18</v>
      </c>
      <c r="G505">
        <v>183.71</v>
      </c>
      <c r="H505">
        <v>3306.78</v>
      </c>
      <c r="I505">
        <v>4.9000000000000004</v>
      </c>
    </row>
    <row r="506" spans="1:9" x14ac:dyDescent="0.35">
      <c r="A506" t="s">
        <v>804</v>
      </c>
      <c r="B506" t="s">
        <v>210</v>
      </c>
      <c r="C506" t="s">
        <v>11</v>
      </c>
      <c r="D506" t="s">
        <v>19</v>
      </c>
      <c r="E506" t="s">
        <v>28</v>
      </c>
      <c r="F506">
        <v>9</v>
      </c>
      <c r="G506">
        <v>1040.44</v>
      </c>
      <c r="H506">
        <v>9363.9599999999991</v>
      </c>
      <c r="I506">
        <v>3.7</v>
      </c>
    </row>
    <row r="507" spans="1:9" x14ac:dyDescent="0.35">
      <c r="A507" t="s">
        <v>805</v>
      </c>
      <c r="B507" t="s">
        <v>806</v>
      </c>
      <c r="C507" t="s">
        <v>16</v>
      </c>
      <c r="D507" t="s">
        <v>19</v>
      </c>
      <c r="E507" t="s">
        <v>31</v>
      </c>
      <c r="F507">
        <v>11</v>
      </c>
      <c r="G507">
        <v>201.73</v>
      </c>
      <c r="H507">
        <v>2219.0300000000002</v>
      </c>
      <c r="I507">
        <v>3.3</v>
      </c>
    </row>
    <row r="508" spans="1:9" x14ac:dyDescent="0.35">
      <c r="A508" t="s">
        <v>807</v>
      </c>
      <c r="B508" t="s">
        <v>761</v>
      </c>
      <c r="C508" t="s">
        <v>38</v>
      </c>
      <c r="D508" t="s">
        <v>19</v>
      </c>
      <c r="E508" t="s">
        <v>20</v>
      </c>
      <c r="F508">
        <v>21</v>
      </c>
      <c r="G508">
        <v>219.11</v>
      </c>
      <c r="H508">
        <v>4601.3100000000004</v>
      </c>
      <c r="I508">
        <v>3.4</v>
      </c>
    </row>
    <row r="509" spans="1:9" x14ac:dyDescent="0.35">
      <c r="A509" t="s">
        <v>808</v>
      </c>
      <c r="B509" t="s">
        <v>809</v>
      </c>
      <c r="C509" t="s">
        <v>16</v>
      </c>
      <c r="D509" t="s">
        <v>24</v>
      </c>
      <c r="E509" t="s">
        <v>44</v>
      </c>
      <c r="F509">
        <v>19</v>
      </c>
      <c r="G509">
        <v>663.21</v>
      </c>
      <c r="H509">
        <v>12600.99</v>
      </c>
      <c r="I509">
        <v>5</v>
      </c>
    </row>
    <row r="510" spans="1:9" x14ac:dyDescent="0.35">
      <c r="A510" t="s">
        <v>810</v>
      </c>
      <c r="B510" t="s">
        <v>470</v>
      </c>
      <c r="C510" t="s">
        <v>11</v>
      </c>
      <c r="D510" t="s">
        <v>12</v>
      </c>
      <c r="E510" t="s">
        <v>13</v>
      </c>
      <c r="F510">
        <v>16</v>
      </c>
      <c r="G510">
        <v>1058.53</v>
      </c>
      <c r="H510">
        <v>16936.48</v>
      </c>
      <c r="I510">
        <v>3.1</v>
      </c>
    </row>
    <row r="511" spans="1:9" x14ac:dyDescent="0.35">
      <c r="A511" t="s">
        <v>811</v>
      </c>
      <c r="B511" t="s">
        <v>812</v>
      </c>
      <c r="C511" t="s">
        <v>16</v>
      </c>
      <c r="D511" t="s">
        <v>12</v>
      </c>
      <c r="E511" t="s">
        <v>17</v>
      </c>
      <c r="F511">
        <v>23</v>
      </c>
      <c r="G511">
        <v>634.95000000000005</v>
      </c>
      <c r="H511">
        <v>14603.85</v>
      </c>
      <c r="I511">
        <v>4</v>
      </c>
    </row>
    <row r="512" spans="1:9" x14ac:dyDescent="0.35">
      <c r="A512" t="s">
        <v>813</v>
      </c>
      <c r="B512" t="s">
        <v>814</v>
      </c>
      <c r="C512" t="s">
        <v>11</v>
      </c>
      <c r="D512" t="s">
        <v>24</v>
      </c>
      <c r="E512" t="s">
        <v>44</v>
      </c>
      <c r="F512">
        <v>21</v>
      </c>
      <c r="G512">
        <v>720.52</v>
      </c>
      <c r="H512">
        <v>15130.92</v>
      </c>
      <c r="I512">
        <v>4</v>
      </c>
    </row>
    <row r="513" spans="1:9" x14ac:dyDescent="0.35">
      <c r="A513" t="s">
        <v>815</v>
      </c>
      <c r="B513" t="s">
        <v>685</v>
      </c>
      <c r="C513" t="s">
        <v>11</v>
      </c>
      <c r="D513" t="s">
        <v>12</v>
      </c>
      <c r="E513" t="s">
        <v>90</v>
      </c>
      <c r="F513">
        <v>13</v>
      </c>
      <c r="G513">
        <v>1199.49</v>
      </c>
      <c r="H513">
        <v>15593.37</v>
      </c>
      <c r="I513">
        <v>3.6</v>
      </c>
    </row>
    <row r="514" spans="1:9" x14ac:dyDescent="0.35">
      <c r="A514" t="s">
        <v>816</v>
      </c>
      <c r="B514" t="s">
        <v>390</v>
      </c>
      <c r="C514" t="s">
        <v>38</v>
      </c>
      <c r="D514" t="s">
        <v>19</v>
      </c>
      <c r="E514" t="s">
        <v>28</v>
      </c>
      <c r="F514">
        <v>7</v>
      </c>
      <c r="G514">
        <v>1487.28</v>
      </c>
      <c r="H514">
        <v>10410.959999999999</v>
      </c>
      <c r="I514">
        <v>3.6</v>
      </c>
    </row>
    <row r="515" spans="1:9" x14ac:dyDescent="0.35">
      <c r="A515" t="s">
        <v>817</v>
      </c>
      <c r="B515" t="s">
        <v>252</v>
      </c>
      <c r="C515" t="s">
        <v>11</v>
      </c>
      <c r="D515" t="s">
        <v>12</v>
      </c>
      <c r="E515" t="s">
        <v>90</v>
      </c>
      <c r="F515">
        <v>18</v>
      </c>
      <c r="G515">
        <v>1436.98</v>
      </c>
      <c r="H515">
        <v>25865.64</v>
      </c>
      <c r="I515">
        <v>3.1</v>
      </c>
    </row>
    <row r="516" spans="1:9" x14ac:dyDescent="0.35">
      <c r="A516" t="s">
        <v>818</v>
      </c>
      <c r="B516" t="s">
        <v>819</v>
      </c>
      <c r="C516" t="s">
        <v>11</v>
      </c>
      <c r="D516" t="s">
        <v>12</v>
      </c>
      <c r="E516" t="s">
        <v>17</v>
      </c>
      <c r="F516">
        <v>21</v>
      </c>
      <c r="G516">
        <v>102.39</v>
      </c>
      <c r="H516">
        <v>2150.19</v>
      </c>
      <c r="I516">
        <v>3.2</v>
      </c>
    </row>
    <row r="517" spans="1:9" x14ac:dyDescent="0.35">
      <c r="A517" t="s">
        <v>820</v>
      </c>
      <c r="B517" t="s">
        <v>370</v>
      </c>
      <c r="C517" t="s">
        <v>38</v>
      </c>
      <c r="D517" t="s">
        <v>24</v>
      </c>
      <c r="E517" t="s">
        <v>25</v>
      </c>
      <c r="F517">
        <v>16</v>
      </c>
      <c r="G517">
        <v>1489.88</v>
      </c>
      <c r="H517">
        <v>23838.080000000002</v>
      </c>
      <c r="I517">
        <v>3.5</v>
      </c>
    </row>
    <row r="518" spans="1:9" x14ac:dyDescent="0.35">
      <c r="A518" t="s">
        <v>821</v>
      </c>
      <c r="B518" t="s">
        <v>413</v>
      </c>
      <c r="C518" t="s">
        <v>23</v>
      </c>
      <c r="D518" t="s">
        <v>24</v>
      </c>
      <c r="E518" t="s">
        <v>25</v>
      </c>
      <c r="F518">
        <v>1</v>
      </c>
      <c r="G518">
        <v>951.53</v>
      </c>
      <c r="H518">
        <v>951.53</v>
      </c>
      <c r="I518">
        <v>4.0999999999999996</v>
      </c>
    </row>
    <row r="519" spans="1:9" x14ac:dyDescent="0.35">
      <c r="A519" t="s">
        <v>822</v>
      </c>
      <c r="B519" t="s">
        <v>78</v>
      </c>
      <c r="C519" t="s">
        <v>11</v>
      </c>
      <c r="D519" t="s">
        <v>12</v>
      </c>
      <c r="E519" t="s">
        <v>90</v>
      </c>
      <c r="F519">
        <v>21</v>
      </c>
      <c r="G519">
        <v>398.76</v>
      </c>
      <c r="H519">
        <v>8373.9599999999991</v>
      </c>
      <c r="I519">
        <v>4.0999999999999996</v>
      </c>
    </row>
    <row r="520" spans="1:9" x14ac:dyDescent="0.35">
      <c r="A520" t="s">
        <v>823</v>
      </c>
      <c r="B520" t="s">
        <v>317</v>
      </c>
      <c r="C520" t="s">
        <v>16</v>
      </c>
      <c r="D520" t="s">
        <v>24</v>
      </c>
      <c r="E520" t="s">
        <v>69</v>
      </c>
      <c r="F520">
        <v>20</v>
      </c>
      <c r="G520">
        <v>1193.9100000000001</v>
      </c>
      <c r="H520">
        <v>23878.2</v>
      </c>
      <c r="I520">
        <v>5</v>
      </c>
    </row>
    <row r="521" spans="1:9" x14ac:dyDescent="0.35">
      <c r="A521" t="s">
        <v>824</v>
      </c>
      <c r="B521" t="s">
        <v>825</v>
      </c>
      <c r="C521" t="s">
        <v>11</v>
      </c>
      <c r="D521" t="s">
        <v>12</v>
      </c>
      <c r="E521" t="s">
        <v>90</v>
      </c>
      <c r="F521">
        <v>1</v>
      </c>
      <c r="G521">
        <v>995.42</v>
      </c>
      <c r="H521">
        <v>995.42</v>
      </c>
      <c r="I521">
        <v>3.5</v>
      </c>
    </row>
    <row r="522" spans="1:9" x14ac:dyDescent="0.35">
      <c r="A522" t="s">
        <v>826</v>
      </c>
      <c r="B522" t="s">
        <v>662</v>
      </c>
      <c r="C522" t="s">
        <v>38</v>
      </c>
      <c r="D522" t="s">
        <v>19</v>
      </c>
      <c r="E522" t="s">
        <v>31</v>
      </c>
      <c r="F522">
        <v>3</v>
      </c>
      <c r="G522">
        <v>1166.3699999999999</v>
      </c>
      <c r="H522">
        <v>3499.11</v>
      </c>
      <c r="I522">
        <v>4.5999999999999996</v>
      </c>
    </row>
    <row r="523" spans="1:9" x14ac:dyDescent="0.35">
      <c r="A523" t="s">
        <v>827</v>
      </c>
      <c r="B523" t="s">
        <v>153</v>
      </c>
      <c r="C523" t="s">
        <v>11</v>
      </c>
      <c r="D523" t="s">
        <v>19</v>
      </c>
      <c r="E523" t="s">
        <v>20</v>
      </c>
      <c r="F523">
        <v>18</v>
      </c>
      <c r="G523">
        <v>1287.52</v>
      </c>
      <c r="H523">
        <v>23175.360000000001</v>
      </c>
      <c r="I523">
        <v>4.9000000000000004</v>
      </c>
    </row>
    <row r="524" spans="1:9" x14ac:dyDescent="0.35">
      <c r="A524" t="s">
        <v>828</v>
      </c>
      <c r="B524" t="s">
        <v>829</v>
      </c>
      <c r="C524" t="s">
        <v>16</v>
      </c>
      <c r="D524" t="s">
        <v>19</v>
      </c>
      <c r="E524" t="s">
        <v>31</v>
      </c>
      <c r="F524">
        <v>25</v>
      </c>
      <c r="G524">
        <v>1046.77</v>
      </c>
      <c r="H524">
        <v>26169.25</v>
      </c>
      <c r="I524">
        <v>3.6</v>
      </c>
    </row>
    <row r="525" spans="1:9" x14ac:dyDescent="0.35">
      <c r="A525" t="s">
        <v>830</v>
      </c>
      <c r="B525" t="s">
        <v>84</v>
      </c>
      <c r="C525" t="s">
        <v>16</v>
      </c>
      <c r="D525" t="s">
        <v>19</v>
      </c>
      <c r="E525" t="s">
        <v>28</v>
      </c>
      <c r="F525">
        <v>25</v>
      </c>
      <c r="G525">
        <v>722.07</v>
      </c>
      <c r="H525">
        <v>18051.75</v>
      </c>
      <c r="I525">
        <v>4.5999999999999996</v>
      </c>
    </row>
    <row r="526" spans="1:9" x14ac:dyDescent="0.35">
      <c r="A526" t="s">
        <v>831</v>
      </c>
      <c r="B526" t="s">
        <v>578</v>
      </c>
      <c r="C526" t="s">
        <v>23</v>
      </c>
      <c r="D526" t="s">
        <v>24</v>
      </c>
      <c r="E526" t="s">
        <v>69</v>
      </c>
      <c r="F526">
        <v>1</v>
      </c>
      <c r="G526">
        <v>1378.44</v>
      </c>
      <c r="H526">
        <v>1378.44</v>
      </c>
      <c r="I526">
        <v>3.6</v>
      </c>
    </row>
    <row r="527" spans="1:9" x14ac:dyDescent="0.35">
      <c r="A527" t="s">
        <v>832</v>
      </c>
      <c r="B527" t="s">
        <v>833</v>
      </c>
      <c r="C527" t="s">
        <v>23</v>
      </c>
      <c r="D527" t="s">
        <v>24</v>
      </c>
      <c r="E527" t="s">
        <v>69</v>
      </c>
      <c r="F527">
        <v>19</v>
      </c>
      <c r="G527">
        <v>570.29</v>
      </c>
      <c r="H527">
        <v>10835.51</v>
      </c>
      <c r="I527">
        <v>4.5</v>
      </c>
    </row>
    <row r="528" spans="1:9" x14ac:dyDescent="0.35">
      <c r="A528" t="s">
        <v>834</v>
      </c>
      <c r="B528" t="s">
        <v>617</v>
      </c>
      <c r="C528" t="s">
        <v>16</v>
      </c>
      <c r="D528" t="s">
        <v>12</v>
      </c>
      <c r="E528" t="s">
        <v>17</v>
      </c>
      <c r="F528">
        <v>23</v>
      </c>
      <c r="G528">
        <v>948.41</v>
      </c>
      <c r="H528">
        <v>21813.43</v>
      </c>
      <c r="I528">
        <v>4.0999999999999996</v>
      </c>
    </row>
    <row r="529" spans="1:9" x14ac:dyDescent="0.35">
      <c r="A529" t="s">
        <v>835</v>
      </c>
      <c r="B529" t="s">
        <v>572</v>
      </c>
      <c r="C529" t="s">
        <v>38</v>
      </c>
      <c r="D529" t="s">
        <v>12</v>
      </c>
      <c r="E529" t="s">
        <v>17</v>
      </c>
      <c r="F529">
        <v>1</v>
      </c>
      <c r="G529">
        <v>349.91</v>
      </c>
      <c r="H529">
        <v>349.91</v>
      </c>
      <c r="I529">
        <v>4.0999999999999996</v>
      </c>
    </row>
    <row r="530" spans="1:9" x14ac:dyDescent="0.35">
      <c r="A530" t="s">
        <v>836</v>
      </c>
      <c r="B530" t="s">
        <v>101</v>
      </c>
      <c r="C530" t="s">
        <v>23</v>
      </c>
      <c r="D530" t="s">
        <v>24</v>
      </c>
      <c r="E530" t="s">
        <v>69</v>
      </c>
      <c r="F530">
        <v>5</v>
      </c>
      <c r="G530">
        <v>757</v>
      </c>
      <c r="H530">
        <v>3785</v>
      </c>
      <c r="I530">
        <v>3.4</v>
      </c>
    </row>
    <row r="531" spans="1:9" x14ac:dyDescent="0.35">
      <c r="A531" t="s">
        <v>837</v>
      </c>
      <c r="B531" t="s">
        <v>403</v>
      </c>
      <c r="C531" t="s">
        <v>16</v>
      </c>
      <c r="D531" t="s">
        <v>24</v>
      </c>
      <c r="E531" t="s">
        <v>25</v>
      </c>
      <c r="F531">
        <v>25</v>
      </c>
      <c r="G531">
        <v>73.67</v>
      </c>
      <c r="H531">
        <v>1841.75</v>
      </c>
      <c r="I531">
        <v>4.8</v>
      </c>
    </row>
    <row r="532" spans="1:9" x14ac:dyDescent="0.35">
      <c r="A532" t="s">
        <v>838</v>
      </c>
      <c r="B532" t="s">
        <v>284</v>
      </c>
      <c r="C532" t="s">
        <v>11</v>
      </c>
      <c r="D532" t="s">
        <v>12</v>
      </c>
      <c r="E532" t="s">
        <v>13</v>
      </c>
      <c r="F532">
        <v>10</v>
      </c>
      <c r="G532">
        <v>1306.4100000000001</v>
      </c>
      <c r="H532">
        <v>13064.1</v>
      </c>
      <c r="I532">
        <v>3.8</v>
      </c>
    </row>
    <row r="533" spans="1:9" x14ac:dyDescent="0.35">
      <c r="A533" t="s">
        <v>839</v>
      </c>
      <c r="B533" t="s">
        <v>149</v>
      </c>
      <c r="C533" t="s">
        <v>38</v>
      </c>
      <c r="D533" t="s">
        <v>19</v>
      </c>
      <c r="E533" t="s">
        <v>28</v>
      </c>
      <c r="F533">
        <v>14</v>
      </c>
      <c r="G533">
        <v>399.35</v>
      </c>
      <c r="H533">
        <v>5590.9</v>
      </c>
      <c r="I533">
        <v>3.5</v>
      </c>
    </row>
    <row r="534" spans="1:9" x14ac:dyDescent="0.35">
      <c r="A534" t="s">
        <v>840</v>
      </c>
      <c r="B534" t="s">
        <v>556</v>
      </c>
      <c r="C534" t="s">
        <v>23</v>
      </c>
      <c r="D534" t="s">
        <v>12</v>
      </c>
      <c r="E534" t="s">
        <v>90</v>
      </c>
      <c r="F534">
        <v>1</v>
      </c>
      <c r="G534">
        <v>749.06</v>
      </c>
      <c r="H534">
        <v>749.06</v>
      </c>
      <c r="I534">
        <v>3.4</v>
      </c>
    </row>
    <row r="535" spans="1:9" x14ac:dyDescent="0.35">
      <c r="A535" t="s">
        <v>841</v>
      </c>
      <c r="B535" t="s">
        <v>623</v>
      </c>
      <c r="C535" t="s">
        <v>11</v>
      </c>
      <c r="D535" t="s">
        <v>12</v>
      </c>
      <c r="E535" t="s">
        <v>90</v>
      </c>
      <c r="F535">
        <v>14</v>
      </c>
      <c r="G535">
        <v>1425.08</v>
      </c>
      <c r="H535">
        <v>19951.12</v>
      </c>
      <c r="I535">
        <v>4.8</v>
      </c>
    </row>
    <row r="536" spans="1:9" x14ac:dyDescent="0.35">
      <c r="A536" t="s">
        <v>842</v>
      </c>
      <c r="B536" t="s">
        <v>122</v>
      </c>
      <c r="C536" t="s">
        <v>38</v>
      </c>
      <c r="D536" t="s">
        <v>24</v>
      </c>
      <c r="E536" t="s">
        <v>69</v>
      </c>
      <c r="F536">
        <v>20</v>
      </c>
      <c r="G536">
        <v>1178.82</v>
      </c>
      <c r="H536">
        <v>23576.400000000001</v>
      </c>
      <c r="I536">
        <v>4.8</v>
      </c>
    </row>
    <row r="537" spans="1:9" x14ac:dyDescent="0.35">
      <c r="A537" t="s">
        <v>843</v>
      </c>
      <c r="B537" t="s">
        <v>403</v>
      </c>
      <c r="C537" t="s">
        <v>38</v>
      </c>
      <c r="D537" t="s">
        <v>24</v>
      </c>
      <c r="E537" t="s">
        <v>25</v>
      </c>
      <c r="F537">
        <v>8</v>
      </c>
      <c r="G537">
        <v>183.13</v>
      </c>
      <c r="H537">
        <v>1465.04</v>
      </c>
      <c r="I537">
        <v>4.9000000000000004</v>
      </c>
    </row>
    <row r="538" spans="1:9" x14ac:dyDescent="0.35">
      <c r="A538" t="s">
        <v>844</v>
      </c>
      <c r="B538" t="s">
        <v>845</v>
      </c>
      <c r="C538" t="s">
        <v>23</v>
      </c>
      <c r="D538" t="s">
        <v>12</v>
      </c>
      <c r="E538" t="s">
        <v>13</v>
      </c>
      <c r="F538">
        <v>11</v>
      </c>
      <c r="G538">
        <v>181.39</v>
      </c>
      <c r="H538">
        <v>1995.29</v>
      </c>
      <c r="I538">
        <v>4.3</v>
      </c>
    </row>
    <row r="539" spans="1:9" x14ac:dyDescent="0.35">
      <c r="A539" t="s">
        <v>846</v>
      </c>
      <c r="B539" t="s">
        <v>847</v>
      </c>
      <c r="C539" t="s">
        <v>38</v>
      </c>
      <c r="D539" t="s">
        <v>24</v>
      </c>
      <c r="E539" t="s">
        <v>25</v>
      </c>
      <c r="F539">
        <v>1</v>
      </c>
      <c r="G539">
        <v>71.33</v>
      </c>
      <c r="H539">
        <v>71.33</v>
      </c>
      <c r="I539">
        <v>3.6</v>
      </c>
    </row>
    <row r="540" spans="1:9" x14ac:dyDescent="0.35">
      <c r="A540" t="s">
        <v>848</v>
      </c>
      <c r="B540" t="s">
        <v>565</v>
      </c>
      <c r="C540" t="s">
        <v>16</v>
      </c>
      <c r="D540" t="s">
        <v>12</v>
      </c>
      <c r="E540" t="s">
        <v>13</v>
      </c>
      <c r="F540">
        <v>16</v>
      </c>
      <c r="G540">
        <v>1075.46</v>
      </c>
      <c r="H540">
        <v>17207.36</v>
      </c>
      <c r="I540">
        <v>4.9000000000000004</v>
      </c>
    </row>
    <row r="541" spans="1:9" x14ac:dyDescent="0.35">
      <c r="A541" t="s">
        <v>849</v>
      </c>
      <c r="B541" t="s">
        <v>155</v>
      </c>
      <c r="C541" t="s">
        <v>38</v>
      </c>
      <c r="D541" t="s">
        <v>12</v>
      </c>
      <c r="E541" t="s">
        <v>90</v>
      </c>
      <c r="F541">
        <v>13</v>
      </c>
      <c r="G541">
        <v>1133.26</v>
      </c>
      <c r="H541">
        <v>14732.38</v>
      </c>
      <c r="I541">
        <v>4.8</v>
      </c>
    </row>
    <row r="542" spans="1:9" x14ac:dyDescent="0.35">
      <c r="A542" t="s">
        <v>850</v>
      </c>
      <c r="B542" t="s">
        <v>167</v>
      </c>
      <c r="C542" t="s">
        <v>38</v>
      </c>
      <c r="D542" t="s">
        <v>24</v>
      </c>
      <c r="E542" t="s">
        <v>69</v>
      </c>
      <c r="F542">
        <v>11</v>
      </c>
      <c r="G542">
        <v>1115.06</v>
      </c>
      <c r="H542">
        <v>12265.66</v>
      </c>
      <c r="I542">
        <v>4.9000000000000004</v>
      </c>
    </row>
    <row r="543" spans="1:9" x14ac:dyDescent="0.35">
      <c r="A543" t="s">
        <v>851</v>
      </c>
      <c r="B543" t="s">
        <v>852</v>
      </c>
      <c r="C543" t="s">
        <v>23</v>
      </c>
      <c r="D543" t="s">
        <v>19</v>
      </c>
      <c r="E543" t="s">
        <v>28</v>
      </c>
      <c r="F543">
        <v>13</v>
      </c>
      <c r="G543">
        <v>1452.94</v>
      </c>
      <c r="H543">
        <v>18888.22</v>
      </c>
      <c r="I543">
        <v>3.3</v>
      </c>
    </row>
    <row r="544" spans="1:9" x14ac:dyDescent="0.35">
      <c r="A544" t="s">
        <v>853</v>
      </c>
      <c r="B544" t="s">
        <v>184</v>
      </c>
      <c r="C544" t="s">
        <v>16</v>
      </c>
      <c r="D544" t="s">
        <v>24</v>
      </c>
      <c r="E544" t="s">
        <v>25</v>
      </c>
      <c r="F544">
        <v>18</v>
      </c>
      <c r="G544">
        <v>1067.6600000000001</v>
      </c>
      <c r="H544">
        <v>19217.88</v>
      </c>
      <c r="I544">
        <v>4</v>
      </c>
    </row>
    <row r="545" spans="1:9" x14ac:dyDescent="0.35">
      <c r="A545" t="s">
        <v>854</v>
      </c>
      <c r="B545" t="s">
        <v>132</v>
      </c>
      <c r="C545" t="s">
        <v>16</v>
      </c>
      <c r="D545" t="s">
        <v>24</v>
      </c>
      <c r="E545" t="s">
        <v>69</v>
      </c>
      <c r="F545">
        <v>15</v>
      </c>
      <c r="G545">
        <v>1089.93</v>
      </c>
      <c r="H545">
        <v>16348.95</v>
      </c>
      <c r="I545">
        <v>4</v>
      </c>
    </row>
    <row r="546" spans="1:9" x14ac:dyDescent="0.35">
      <c r="A546" t="s">
        <v>855</v>
      </c>
      <c r="B546" t="s">
        <v>856</v>
      </c>
      <c r="C546" t="s">
        <v>11</v>
      </c>
      <c r="D546" t="s">
        <v>19</v>
      </c>
      <c r="E546" t="s">
        <v>20</v>
      </c>
      <c r="F546">
        <v>17</v>
      </c>
      <c r="G546">
        <v>608.79999999999995</v>
      </c>
      <c r="H546">
        <v>10349.6</v>
      </c>
      <c r="I546">
        <v>3.6</v>
      </c>
    </row>
    <row r="547" spans="1:9" x14ac:dyDescent="0.35">
      <c r="A547" t="s">
        <v>857</v>
      </c>
      <c r="B547" t="s">
        <v>574</v>
      </c>
      <c r="C547" t="s">
        <v>11</v>
      </c>
      <c r="D547" t="s">
        <v>12</v>
      </c>
      <c r="E547" t="s">
        <v>90</v>
      </c>
      <c r="F547">
        <v>22</v>
      </c>
      <c r="G547">
        <v>607.62</v>
      </c>
      <c r="H547">
        <v>13367.64</v>
      </c>
      <c r="I547">
        <v>4.9000000000000004</v>
      </c>
    </row>
    <row r="548" spans="1:9" x14ac:dyDescent="0.35">
      <c r="A548" t="s">
        <v>858</v>
      </c>
      <c r="B548" t="s">
        <v>799</v>
      </c>
      <c r="C548" t="s">
        <v>23</v>
      </c>
      <c r="D548" t="s">
        <v>19</v>
      </c>
      <c r="E548" t="s">
        <v>28</v>
      </c>
      <c r="F548">
        <v>21</v>
      </c>
      <c r="G548">
        <v>577.33000000000004</v>
      </c>
      <c r="H548">
        <v>12123.93</v>
      </c>
      <c r="I548">
        <v>3.2</v>
      </c>
    </row>
    <row r="549" spans="1:9" x14ac:dyDescent="0.35">
      <c r="A549" t="s">
        <v>859</v>
      </c>
      <c r="B549" t="s">
        <v>107</v>
      </c>
      <c r="C549" t="s">
        <v>16</v>
      </c>
      <c r="D549" t="s">
        <v>24</v>
      </c>
      <c r="E549" t="s">
        <v>69</v>
      </c>
      <c r="F549">
        <v>1</v>
      </c>
      <c r="G549">
        <v>1075.33</v>
      </c>
      <c r="H549">
        <v>1075.33</v>
      </c>
      <c r="I549">
        <v>4.2</v>
      </c>
    </row>
    <row r="550" spans="1:9" x14ac:dyDescent="0.35">
      <c r="A550" t="s">
        <v>860</v>
      </c>
      <c r="B550" t="s">
        <v>315</v>
      </c>
      <c r="C550" t="s">
        <v>23</v>
      </c>
      <c r="D550" t="s">
        <v>19</v>
      </c>
      <c r="E550" t="s">
        <v>31</v>
      </c>
      <c r="F550">
        <v>19</v>
      </c>
      <c r="G550">
        <v>715.45</v>
      </c>
      <c r="H550">
        <v>13593.55</v>
      </c>
      <c r="I550">
        <v>3.6</v>
      </c>
    </row>
    <row r="551" spans="1:9" x14ac:dyDescent="0.35">
      <c r="A551" t="s">
        <v>861</v>
      </c>
      <c r="B551" t="s">
        <v>599</v>
      </c>
      <c r="C551" t="s">
        <v>23</v>
      </c>
      <c r="D551" t="s">
        <v>12</v>
      </c>
      <c r="E551" t="s">
        <v>17</v>
      </c>
      <c r="F551">
        <v>15</v>
      </c>
      <c r="G551">
        <v>276.27999999999997</v>
      </c>
      <c r="H551">
        <v>4144.2</v>
      </c>
      <c r="I551">
        <v>3.7</v>
      </c>
    </row>
    <row r="552" spans="1:9" x14ac:dyDescent="0.35">
      <c r="A552" t="s">
        <v>862</v>
      </c>
      <c r="B552" t="s">
        <v>356</v>
      </c>
      <c r="C552" t="s">
        <v>23</v>
      </c>
      <c r="D552" t="s">
        <v>19</v>
      </c>
      <c r="E552" t="s">
        <v>28</v>
      </c>
      <c r="F552">
        <v>7</v>
      </c>
      <c r="G552">
        <v>1462.46</v>
      </c>
      <c r="H552">
        <v>10237.219999999999</v>
      </c>
      <c r="I552">
        <v>3.8</v>
      </c>
    </row>
    <row r="553" spans="1:9" x14ac:dyDescent="0.35">
      <c r="A553" t="s">
        <v>863</v>
      </c>
      <c r="B553" t="s">
        <v>312</v>
      </c>
      <c r="C553" t="s">
        <v>38</v>
      </c>
      <c r="D553" t="s">
        <v>19</v>
      </c>
      <c r="E553" t="s">
        <v>28</v>
      </c>
      <c r="F553">
        <v>7</v>
      </c>
      <c r="G553">
        <v>1411.49</v>
      </c>
      <c r="H553">
        <v>9880.43</v>
      </c>
      <c r="I553">
        <v>4</v>
      </c>
    </row>
    <row r="554" spans="1:9" x14ac:dyDescent="0.35">
      <c r="A554" t="s">
        <v>864</v>
      </c>
      <c r="B554" t="s">
        <v>279</v>
      </c>
      <c r="C554" t="s">
        <v>38</v>
      </c>
      <c r="D554" t="s">
        <v>24</v>
      </c>
      <c r="E554" t="s">
        <v>44</v>
      </c>
      <c r="F554">
        <v>7</v>
      </c>
      <c r="G554">
        <v>556.88</v>
      </c>
      <c r="H554">
        <v>3898.16</v>
      </c>
      <c r="I554">
        <v>3.3</v>
      </c>
    </row>
    <row r="555" spans="1:9" x14ac:dyDescent="0.35">
      <c r="A555" t="s">
        <v>865</v>
      </c>
      <c r="B555" t="s">
        <v>96</v>
      </c>
      <c r="C555" t="s">
        <v>38</v>
      </c>
      <c r="D555" t="s">
        <v>12</v>
      </c>
      <c r="E555" t="s">
        <v>13</v>
      </c>
      <c r="F555">
        <v>9</v>
      </c>
      <c r="G555">
        <v>729.44</v>
      </c>
      <c r="H555">
        <v>6564.96</v>
      </c>
      <c r="I555">
        <v>4.0999999999999996</v>
      </c>
    </row>
    <row r="556" spans="1:9" x14ac:dyDescent="0.35">
      <c r="A556" t="s">
        <v>866</v>
      </c>
      <c r="B556" t="s">
        <v>867</v>
      </c>
      <c r="C556" t="s">
        <v>11</v>
      </c>
      <c r="D556" t="s">
        <v>24</v>
      </c>
      <c r="E556" t="s">
        <v>25</v>
      </c>
      <c r="F556">
        <v>17</v>
      </c>
      <c r="G556">
        <v>716.15</v>
      </c>
      <c r="H556">
        <v>12174.55</v>
      </c>
      <c r="I556">
        <v>3.5</v>
      </c>
    </row>
    <row r="557" spans="1:9" x14ac:dyDescent="0.35">
      <c r="A557" t="s">
        <v>868</v>
      </c>
      <c r="B557" t="s">
        <v>869</v>
      </c>
      <c r="C557" t="s">
        <v>23</v>
      </c>
      <c r="D557" t="s">
        <v>24</v>
      </c>
      <c r="E557" t="s">
        <v>44</v>
      </c>
      <c r="F557">
        <v>4</v>
      </c>
      <c r="G557">
        <v>1473.77</v>
      </c>
      <c r="H557">
        <v>5895.08</v>
      </c>
      <c r="I557">
        <v>3.9</v>
      </c>
    </row>
    <row r="558" spans="1:9" x14ac:dyDescent="0.35">
      <c r="A558" t="s">
        <v>870</v>
      </c>
      <c r="B558" t="s">
        <v>450</v>
      </c>
      <c r="C558" t="s">
        <v>38</v>
      </c>
      <c r="D558" t="s">
        <v>24</v>
      </c>
      <c r="E558" t="s">
        <v>25</v>
      </c>
      <c r="F558">
        <v>19</v>
      </c>
      <c r="G558">
        <v>1343.75</v>
      </c>
      <c r="H558">
        <v>25531.25</v>
      </c>
      <c r="I558">
        <v>4.8</v>
      </c>
    </row>
    <row r="559" spans="1:9" x14ac:dyDescent="0.35">
      <c r="A559" t="s">
        <v>871</v>
      </c>
      <c r="B559" t="s">
        <v>64</v>
      </c>
      <c r="C559" t="s">
        <v>38</v>
      </c>
      <c r="D559" t="s">
        <v>12</v>
      </c>
      <c r="E559" t="s">
        <v>90</v>
      </c>
      <c r="F559">
        <v>22</v>
      </c>
      <c r="G559">
        <v>1190.53</v>
      </c>
      <c r="H559">
        <v>26191.66</v>
      </c>
      <c r="I559">
        <v>4.7</v>
      </c>
    </row>
    <row r="560" spans="1:9" x14ac:dyDescent="0.35">
      <c r="A560" t="s">
        <v>872</v>
      </c>
      <c r="B560" t="s">
        <v>788</v>
      </c>
      <c r="C560" t="s">
        <v>38</v>
      </c>
      <c r="D560" t="s">
        <v>12</v>
      </c>
      <c r="E560" t="s">
        <v>13</v>
      </c>
      <c r="F560">
        <v>13</v>
      </c>
      <c r="G560">
        <v>1116.8499999999999</v>
      </c>
      <c r="H560">
        <v>14519.05</v>
      </c>
      <c r="I560">
        <v>3.4</v>
      </c>
    </row>
    <row r="561" spans="1:9" x14ac:dyDescent="0.35">
      <c r="A561" t="s">
        <v>873</v>
      </c>
      <c r="B561" t="s">
        <v>153</v>
      </c>
      <c r="C561" t="s">
        <v>11</v>
      </c>
      <c r="D561" t="s">
        <v>19</v>
      </c>
      <c r="E561" t="s">
        <v>31</v>
      </c>
      <c r="F561">
        <v>9</v>
      </c>
      <c r="G561">
        <v>653.75</v>
      </c>
      <c r="H561">
        <v>5883.75</v>
      </c>
      <c r="I561">
        <v>4</v>
      </c>
    </row>
    <row r="562" spans="1:9" x14ac:dyDescent="0.35">
      <c r="A562" t="s">
        <v>874</v>
      </c>
      <c r="B562" t="s">
        <v>740</v>
      </c>
      <c r="C562" t="s">
        <v>38</v>
      </c>
      <c r="D562" t="s">
        <v>12</v>
      </c>
      <c r="E562" t="s">
        <v>13</v>
      </c>
      <c r="F562">
        <v>12</v>
      </c>
      <c r="G562">
        <v>330.09</v>
      </c>
      <c r="H562">
        <v>3961.08</v>
      </c>
      <c r="I562">
        <v>4.0999999999999996</v>
      </c>
    </row>
    <row r="563" spans="1:9" x14ac:dyDescent="0.35">
      <c r="A563" t="s">
        <v>875</v>
      </c>
      <c r="B563" t="s">
        <v>171</v>
      </c>
      <c r="C563" t="s">
        <v>11</v>
      </c>
      <c r="D563" t="s">
        <v>12</v>
      </c>
      <c r="E563" t="s">
        <v>90</v>
      </c>
      <c r="F563">
        <v>17</v>
      </c>
      <c r="G563">
        <v>55.57</v>
      </c>
      <c r="H563">
        <v>944.69</v>
      </c>
      <c r="I563">
        <v>3.7</v>
      </c>
    </row>
    <row r="564" spans="1:9" x14ac:dyDescent="0.35">
      <c r="A564" t="s">
        <v>876</v>
      </c>
      <c r="B564" t="s">
        <v>877</v>
      </c>
      <c r="C564" t="s">
        <v>38</v>
      </c>
      <c r="D564" t="s">
        <v>19</v>
      </c>
      <c r="E564" t="s">
        <v>20</v>
      </c>
      <c r="F564">
        <v>11</v>
      </c>
      <c r="G564">
        <v>1098.33</v>
      </c>
      <c r="H564">
        <v>12081.63</v>
      </c>
      <c r="I564">
        <v>4.5999999999999996</v>
      </c>
    </row>
    <row r="565" spans="1:9" x14ac:dyDescent="0.35">
      <c r="A565" t="s">
        <v>878</v>
      </c>
      <c r="B565" t="s">
        <v>462</v>
      </c>
      <c r="C565" t="s">
        <v>16</v>
      </c>
      <c r="D565" t="s">
        <v>19</v>
      </c>
      <c r="E565" t="s">
        <v>20</v>
      </c>
      <c r="F565">
        <v>24</v>
      </c>
      <c r="G565">
        <v>246.75</v>
      </c>
      <c r="H565">
        <v>5922</v>
      </c>
      <c r="I565">
        <v>3.2</v>
      </c>
    </row>
    <row r="566" spans="1:9" x14ac:dyDescent="0.35">
      <c r="A566" t="s">
        <v>879</v>
      </c>
      <c r="B566" t="s">
        <v>525</v>
      </c>
      <c r="C566" t="s">
        <v>16</v>
      </c>
      <c r="D566" t="s">
        <v>12</v>
      </c>
      <c r="E566" t="s">
        <v>13</v>
      </c>
      <c r="F566">
        <v>22</v>
      </c>
      <c r="G566">
        <v>1473.1</v>
      </c>
      <c r="H566">
        <v>32408.2</v>
      </c>
      <c r="I566">
        <v>4.9000000000000004</v>
      </c>
    </row>
    <row r="567" spans="1:9" x14ac:dyDescent="0.35">
      <c r="A567" t="s">
        <v>880</v>
      </c>
      <c r="B567" t="s">
        <v>321</v>
      </c>
      <c r="C567" t="s">
        <v>23</v>
      </c>
      <c r="D567" t="s">
        <v>12</v>
      </c>
      <c r="E567" t="s">
        <v>17</v>
      </c>
      <c r="F567">
        <v>21</v>
      </c>
      <c r="G567">
        <v>143.69999999999999</v>
      </c>
      <c r="H567">
        <v>3017.7</v>
      </c>
      <c r="I567">
        <v>4.5999999999999996</v>
      </c>
    </row>
    <row r="568" spans="1:9" x14ac:dyDescent="0.35">
      <c r="A568" t="s">
        <v>881</v>
      </c>
      <c r="B568" t="s">
        <v>201</v>
      </c>
      <c r="C568" t="s">
        <v>16</v>
      </c>
      <c r="D568" t="s">
        <v>12</v>
      </c>
      <c r="E568" t="s">
        <v>13</v>
      </c>
      <c r="F568">
        <v>20</v>
      </c>
      <c r="G568">
        <v>1140.1500000000001</v>
      </c>
      <c r="H568">
        <v>22803</v>
      </c>
      <c r="I568">
        <v>3</v>
      </c>
    </row>
    <row r="569" spans="1:9" x14ac:dyDescent="0.35">
      <c r="A569" t="s">
        <v>882</v>
      </c>
      <c r="B569" t="s">
        <v>177</v>
      </c>
      <c r="C569" t="s">
        <v>11</v>
      </c>
      <c r="D569" t="s">
        <v>19</v>
      </c>
      <c r="E569" t="s">
        <v>31</v>
      </c>
      <c r="F569">
        <v>4</v>
      </c>
      <c r="G569">
        <v>1165.3</v>
      </c>
      <c r="H569">
        <v>4661.2</v>
      </c>
      <c r="I569">
        <v>3.1</v>
      </c>
    </row>
    <row r="570" spans="1:9" x14ac:dyDescent="0.35">
      <c r="A570" t="s">
        <v>883</v>
      </c>
      <c r="B570" t="s">
        <v>286</v>
      </c>
      <c r="C570" t="s">
        <v>11</v>
      </c>
      <c r="D570" t="s">
        <v>12</v>
      </c>
      <c r="E570" t="s">
        <v>13</v>
      </c>
      <c r="F570">
        <v>21</v>
      </c>
      <c r="G570">
        <v>671.95</v>
      </c>
      <c r="H570">
        <v>14110.95</v>
      </c>
      <c r="I570">
        <v>3.3</v>
      </c>
    </row>
    <row r="571" spans="1:9" x14ac:dyDescent="0.35">
      <c r="A571" t="s">
        <v>884</v>
      </c>
      <c r="B571" t="s">
        <v>717</v>
      </c>
      <c r="C571" t="s">
        <v>38</v>
      </c>
      <c r="D571" t="s">
        <v>19</v>
      </c>
      <c r="E571" t="s">
        <v>28</v>
      </c>
      <c r="F571">
        <v>12</v>
      </c>
      <c r="G571">
        <v>989.79</v>
      </c>
      <c r="H571">
        <v>11877.48</v>
      </c>
      <c r="I571">
        <v>3.9</v>
      </c>
    </row>
    <row r="572" spans="1:9" x14ac:dyDescent="0.35">
      <c r="A572" t="s">
        <v>885</v>
      </c>
      <c r="B572" t="s">
        <v>886</v>
      </c>
      <c r="C572" t="s">
        <v>23</v>
      </c>
      <c r="D572" t="s">
        <v>24</v>
      </c>
      <c r="E572" t="s">
        <v>44</v>
      </c>
      <c r="F572">
        <v>22</v>
      </c>
      <c r="G572">
        <v>219.04</v>
      </c>
      <c r="H572">
        <v>4818.88</v>
      </c>
      <c r="I572">
        <v>3.3</v>
      </c>
    </row>
    <row r="573" spans="1:9" x14ac:dyDescent="0.35">
      <c r="A573" t="s">
        <v>887</v>
      </c>
      <c r="B573" t="s">
        <v>888</v>
      </c>
      <c r="C573" t="s">
        <v>38</v>
      </c>
      <c r="D573" t="s">
        <v>19</v>
      </c>
      <c r="E573" t="s">
        <v>31</v>
      </c>
      <c r="F573">
        <v>24</v>
      </c>
      <c r="G573">
        <v>720.53</v>
      </c>
      <c r="H573">
        <v>17292.72</v>
      </c>
      <c r="I573">
        <v>4.2</v>
      </c>
    </row>
    <row r="574" spans="1:9" x14ac:dyDescent="0.35">
      <c r="A574" t="s">
        <v>889</v>
      </c>
      <c r="B574" t="s">
        <v>441</v>
      </c>
      <c r="C574" t="s">
        <v>23</v>
      </c>
      <c r="D574" t="s">
        <v>12</v>
      </c>
      <c r="E574" t="s">
        <v>90</v>
      </c>
      <c r="F574">
        <v>15</v>
      </c>
      <c r="G574">
        <v>275.97000000000003</v>
      </c>
      <c r="H574">
        <v>4139.55</v>
      </c>
      <c r="I574">
        <v>4.0999999999999996</v>
      </c>
    </row>
    <row r="575" spans="1:9" x14ac:dyDescent="0.35">
      <c r="A575" t="s">
        <v>890</v>
      </c>
      <c r="B575" t="s">
        <v>655</v>
      </c>
      <c r="C575" t="s">
        <v>11</v>
      </c>
      <c r="D575" t="s">
        <v>19</v>
      </c>
      <c r="E575" t="s">
        <v>31</v>
      </c>
      <c r="F575">
        <v>23</v>
      </c>
      <c r="G575">
        <v>273.22000000000003</v>
      </c>
      <c r="H575">
        <v>6284.06</v>
      </c>
      <c r="I575">
        <v>3.7</v>
      </c>
    </row>
    <row r="576" spans="1:9" x14ac:dyDescent="0.35">
      <c r="A576" t="s">
        <v>891</v>
      </c>
      <c r="B576" t="s">
        <v>340</v>
      </c>
      <c r="C576" t="s">
        <v>38</v>
      </c>
      <c r="D576" t="s">
        <v>12</v>
      </c>
      <c r="E576" t="s">
        <v>13</v>
      </c>
      <c r="F576">
        <v>20</v>
      </c>
      <c r="G576">
        <v>1045.83</v>
      </c>
      <c r="H576">
        <v>20916.599999999999</v>
      </c>
      <c r="I576">
        <v>3.9</v>
      </c>
    </row>
    <row r="577" spans="1:9" x14ac:dyDescent="0.35">
      <c r="A577" t="s">
        <v>892</v>
      </c>
      <c r="B577" t="s">
        <v>617</v>
      </c>
      <c r="C577" t="s">
        <v>38</v>
      </c>
      <c r="D577" t="s">
        <v>24</v>
      </c>
      <c r="E577" t="s">
        <v>69</v>
      </c>
      <c r="F577">
        <v>11</v>
      </c>
      <c r="G577">
        <v>438.12</v>
      </c>
      <c r="H577">
        <v>4819.32</v>
      </c>
      <c r="I577">
        <v>4.5</v>
      </c>
    </row>
    <row r="578" spans="1:9" x14ac:dyDescent="0.35">
      <c r="A578" t="s">
        <v>893</v>
      </c>
      <c r="B578" t="s">
        <v>239</v>
      </c>
      <c r="C578" t="s">
        <v>11</v>
      </c>
      <c r="D578" t="s">
        <v>12</v>
      </c>
      <c r="E578" t="s">
        <v>90</v>
      </c>
      <c r="F578">
        <v>24</v>
      </c>
      <c r="G578">
        <v>1498.26</v>
      </c>
      <c r="H578">
        <v>35958.239999999998</v>
      </c>
      <c r="I578">
        <v>5</v>
      </c>
    </row>
    <row r="579" spans="1:9" x14ac:dyDescent="0.35">
      <c r="A579" t="s">
        <v>894</v>
      </c>
      <c r="B579" t="s">
        <v>116</v>
      </c>
      <c r="C579" t="s">
        <v>23</v>
      </c>
      <c r="D579" t="s">
        <v>19</v>
      </c>
      <c r="E579" t="s">
        <v>31</v>
      </c>
      <c r="F579">
        <v>24</v>
      </c>
      <c r="G579">
        <v>67.12</v>
      </c>
      <c r="H579">
        <v>1610.88</v>
      </c>
      <c r="I579">
        <v>4.3</v>
      </c>
    </row>
    <row r="580" spans="1:9" x14ac:dyDescent="0.35">
      <c r="A580" t="s">
        <v>895</v>
      </c>
      <c r="B580" t="s">
        <v>71</v>
      </c>
      <c r="C580" t="s">
        <v>11</v>
      </c>
      <c r="D580" t="s">
        <v>19</v>
      </c>
      <c r="E580" t="s">
        <v>28</v>
      </c>
      <c r="F580">
        <v>20</v>
      </c>
      <c r="G580">
        <v>1280.6099999999999</v>
      </c>
      <c r="H580">
        <v>25612.2</v>
      </c>
      <c r="I580">
        <v>4.7</v>
      </c>
    </row>
    <row r="581" spans="1:9" x14ac:dyDescent="0.35">
      <c r="A581" t="s">
        <v>896</v>
      </c>
      <c r="B581" t="s">
        <v>590</v>
      </c>
      <c r="C581" t="s">
        <v>16</v>
      </c>
      <c r="D581" t="s">
        <v>24</v>
      </c>
      <c r="E581" t="s">
        <v>25</v>
      </c>
      <c r="F581">
        <v>8</v>
      </c>
      <c r="G581">
        <v>96.61</v>
      </c>
      <c r="H581">
        <v>772.88</v>
      </c>
      <c r="I581">
        <v>4</v>
      </c>
    </row>
    <row r="582" spans="1:9" x14ac:dyDescent="0.35">
      <c r="A582" t="s">
        <v>897</v>
      </c>
      <c r="B582" t="s">
        <v>76</v>
      </c>
      <c r="C582" t="s">
        <v>38</v>
      </c>
      <c r="D582" t="s">
        <v>24</v>
      </c>
      <c r="E582" t="s">
        <v>25</v>
      </c>
      <c r="F582">
        <v>22</v>
      </c>
      <c r="G582">
        <v>1297.27</v>
      </c>
      <c r="H582">
        <v>28539.94</v>
      </c>
      <c r="I582">
        <v>3.2</v>
      </c>
    </row>
    <row r="583" spans="1:9" x14ac:dyDescent="0.35">
      <c r="A583" t="s">
        <v>898</v>
      </c>
      <c r="B583" t="s">
        <v>410</v>
      </c>
      <c r="C583" t="s">
        <v>11</v>
      </c>
      <c r="D583" t="s">
        <v>24</v>
      </c>
      <c r="E583" t="s">
        <v>69</v>
      </c>
      <c r="F583">
        <v>3</v>
      </c>
      <c r="G583">
        <v>1236.78</v>
      </c>
      <c r="H583">
        <v>3710.34</v>
      </c>
      <c r="I583">
        <v>4.9000000000000004</v>
      </c>
    </row>
    <row r="584" spans="1:9" x14ac:dyDescent="0.35">
      <c r="A584" t="s">
        <v>899</v>
      </c>
      <c r="B584" t="s">
        <v>303</v>
      </c>
      <c r="C584" t="s">
        <v>16</v>
      </c>
      <c r="D584" t="s">
        <v>19</v>
      </c>
      <c r="E584" t="s">
        <v>28</v>
      </c>
      <c r="F584">
        <v>25</v>
      </c>
      <c r="G584">
        <v>956.25</v>
      </c>
      <c r="H584">
        <v>23906.25</v>
      </c>
      <c r="I584">
        <v>4.0999999999999996</v>
      </c>
    </row>
    <row r="585" spans="1:9" x14ac:dyDescent="0.35">
      <c r="A585" t="s">
        <v>900</v>
      </c>
      <c r="B585" t="s">
        <v>901</v>
      </c>
      <c r="C585" t="s">
        <v>23</v>
      </c>
      <c r="D585" t="s">
        <v>24</v>
      </c>
      <c r="E585" t="s">
        <v>44</v>
      </c>
      <c r="F585">
        <v>17</v>
      </c>
      <c r="G585">
        <v>381.58</v>
      </c>
      <c r="H585">
        <v>6486.86</v>
      </c>
      <c r="I585">
        <v>4.9000000000000004</v>
      </c>
    </row>
    <row r="586" spans="1:9" x14ac:dyDescent="0.35">
      <c r="A586" t="s">
        <v>902</v>
      </c>
      <c r="B586" t="s">
        <v>259</v>
      </c>
      <c r="C586" t="s">
        <v>11</v>
      </c>
      <c r="D586" t="s">
        <v>12</v>
      </c>
      <c r="E586" t="s">
        <v>13</v>
      </c>
      <c r="F586">
        <v>12</v>
      </c>
      <c r="G586">
        <v>1491.26</v>
      </c>
      <c r="H586">
        <v>17895.12</v>
      </c>
      <c r="I586">
        <v>4.5</v>
      </c>
    </row>
    <row r="587" spans="1:9" x14ac:dyDescent="0.35">
      <c r="A587" t="s">
        <v>903</v>
      </c>
      <c r="B587" t="s">
        <v>750</v>
      </c>
      <c r="C587" t="s">
        <v>16</v>
      </c>
      <c r="D587" t="s">
        <v>19</v>
      </c>
      <c r="E587" t="s">
        <v>28</v>
      </c>
      <c r="F587">
        <v>18</v>
      </c>
      <c r="G587">
        <v>404.63</v>
      </c>
      <c r="H587">
        <v>7283.34</v>
      </c>
      <c r="I587">
        <v>3.1</v>
      </c>
    </row>
    <row r="588" spans="1:9" x14ac:dyDescent="0.35">
      <c r="A588" t="s">
        <v>904</v>
      </c>
      <c r="B588" t="s">
        <v>905</v>
      </c>
      <c r="C588" t="s">
        <v>38</v>
      </c>
      <c r="D588" t="s">
        <v>24</v>
      </c>
      <c r="E588" t="s">
        <v>25</v>
      </c>
      <c r="F588">
        <v>7</v>
      </c>
      <c r="G588">
        <v>141.91</v>
      </c>
      <c r="H588">
        <v>993.37</v>
      </c>
      <c r="I588">
        <v>4.4000000000000004</v>
      </c>
    </row>
    <row r="589" spans="1:9" x14ac:dyDescent="0.35">
      <c r="A589" t="s">
        <v>906</v>
      </c>
      <c r="B589" t="s">
        <v>420</v>
      </c>
      <c r="C589" t="s">
        <v>38</v>
      </c>
      <c r="D589" t="s">
        <v>19</v>
      </c>
      <c r="E589" t="s">
        <v>20</v>
      </c>
      <c r="F589">
        <v>22</v>
      </c>
      <c r="G589">
        <v>24.27</v>
      </c>
      <c r="H589">
        <v>533.94000000000005</v>
      </c>
      <c r="I589">
        <v>3.4</v>
      </c>
    </row>
    <row r="590" spans="1:9" x14ac:dyDescent="0.35">
      <c r="A590" t="s">
        <v>907</v>
      </c>
      <c r="B590" t="s">
        <v>717</v>
      </c>
      <c r="C590" t="s">
        <v>23</v>
      </c>
      <c r="D590" t="s">
        <v>24</v>
      </c>
      <c r="E590" t="s">
        <v>44</v>
      </c>
      <c r="F590">
        <v>23</v>
      </c>
      <c r="G590">
        <v>1123.83</v>
      </c>
      <c r="H590">
        <v>25848.09</v>
      </c>
      <c r="I590">
        <v>4.5999999999999996</v>
      </c>
    </row>
    <row r="591" spans="1:9" x14ac:dyDescent="0.35">
      <c r="A591" t="s">
        <v>908</v>
      </c>
      <c r="B591" t="s">
        <v>349</v>
      </c>
      <c r="C591" t="s">
        <v>11</v>
      </c>
      <c r="D591" t="s">
        <v>12</v>
      </c>
      <c r="E591" t="s">
        <v>90</v>
      </c>
      <c r="F591">
        <v>11</v>
      </c>
      <c r="G591">
        <v>963.9</v>
      </c>
      <c r="H591">
        <v>10602.9</v>
      </c>
      <c r="I591">
        <v>4.7</v>
      </c>
    </row>
    <row r="592" spans="1:9" x14ac:dyDescent="0.35">
      <c r="A592" t="s">
        <v>909</v>
      </c>
      <c r="B592" t="s">
        <v>910</v>
      </c>
      <c r="C592" t="s">
        <v>23</v>
      </c>
      <c r="D592" t="s">
        <v>19</v>
      </c>
      <c r="E592" t="s">
        <v>20</v>
      </c>
      <c r="F592">
        <v>15</v>
      </c>
      <c r="G592">
        <v>223.04</v>
      </c>
      <c r="H592">
        <v>3345.6</v>
      </c>
      <c r="I592">
        <v>3.8</v>
      </c>
    </row>
    <row r="593" spans="1:9" x14ac:dyDescent="0.35">
      <c r="A593" t="s">
        <v>911</v>
      </c>
      <c r="B593" t="s">
        <v>912</v>
      </c>
      <c r="C593" t="s">
        <v>38</v>
      </c>
      <c r="D593" t="s">
        <v>24</v>
      </c>
      <c r="E593" t="s">
        <v>69</v>
      </c>
      <c r="F593">
        <v>11</v>
      </c>
      <c r="G593">
        <v>13.29</v>
      </c>
      <c r="H593">
        <v>146.19</v>
      </c>
      <c r="I593">
        <v>4.2</v>
      </c>
    </row>
    <row r="594" spans="1:9" x14ac:dyDescent="0.35">
      <c r="A594" t="s">
        <v>913</v>
      </c>
      <c r="B594" t="s">
        <v>914</v>
      </c>
      <c r="C594" t="s">
        <v>38</v>
      </c>
      <c r="D594" t="s">
        <v>12</v>
      </c>
      <c r="E594" t="s">
        <v>90</v>
      </c>
      <c r="F594">
        <v>1</v>
      </c>
      <c r="G594">
        <v>220.23</v>
      </c>
      <c r="H594">
        <v>220.23</v>
      </c>
      <c r="I594">
        <v>3.9</v>
      </c>
    </row>
    <row r="595" spans="1:9" x14ac:dyDescent="0.35">
      <c r="A595" t="s">
        <v>915</v>
      </c>
      <c r="B595" t="s">
        <v>916</v>
      </c>
      <c r="C595" t="s">
        <v>38</v>
      </c>
      <c r="D595" t="s">
        <v>19</v>
      </c>
      <c r="E595" t="s">
        <v>20</v>
      </c>
      <c r="F595">
        <v>11</v>
      </c>
      <c r="G595">
        <v>562.27</v>
      </c>
      <c r="H595">
        <v>6184.97</v>
      </c>
      <c r="I595">
        <v>4.0999999999999996</v>
      </c>
    </row>
    <row r="596" spans="1:9" x14ac:dyDescent="0.35">
      <c r="A596" t="s">
        <v>917</v>
      </c>
      <c r="B596" t="s">
        <v>918</v>
      </c>
      <c r="C596" t="s">
        <v>38</v>
      </c>
      <c r="D596" t="s">
        <v>12</v>
      </c>
      <c r="E596" t="s">
        <v>90</v>
      </c>
      <c r="F596">
        <v>4</v>
      </c>
      <c r="G596">
        <v>376.89</v>
      </c>
      <c r="H596">
        <v>1507.56</v>
      </c>
      <c r="I596">
        <v>3.7</v>
      </c>
    </row>
    <row r="597" spans="1:9" x14ac:dyDescent="0.35">
      <c r="A597" t="s">
        <v>919</v>
      </c>
      <c r="B597" t="s">
        <v>312</v>
      </c>
      <c r="C597" t="s">
        <v>23</v>
      </c>
      <c r="D597" t="s">
        <v>12</v>
      </c>
      <c r="E597" t="s">
        <v>13</v>
      </c>
      <c r="F597">
        <v>20</v>
      </c>
      <c r="G597">
        <v>1344.64</v>
      </c>
      <c r="H597">
        <v>26892.799999999999</v>
      </c>
      <c r="I597">
        <v>4.0999999999999996</v>
      </c>
    </row>
    <row r="598" spans="1:9" x14ac:dyDescent="0.35">
      <c r="A598" t="s">
        <v>920</v>
      </c>
      <c r="B598" t="s">
        <v>112</v>
      </c>
      <c r="C598" t="s">
        <v>16</v>
      </c>
      <c r="D598" t="s">
        <v>12</v>
      </c>
      <c r="E598" t="s">
        <v>90</v>
      </c>
      <c r="F598">
        <v>6</v>
      </c>
      <c r="G598">
        <v>673.48</v>
      </c>
      <c r="H598">
        <v>4040.88</v>
      </c>
      <c r="I598">
        <v>3.1</v>
      </c>
    </row>
    <row r="599" spans="1:9" x14ac:dyDescent="0.35">
      <c r="A599" t="s">
        <v>921</v>
      </c>
      <c r="B599" t="s">
        <v>922</v>
      </c>
      <c r="C599" t="s">
        <v>23</v>
      </c>
      <c r="D599" t="s">
        <v>19</v>
      </c>
      <c r="E599" t="s">
        <v>28</v>
      </c>
      <c r="F599">
        <v>15</v>
      </c>
      <c r="G599">
        <v>1323.62</v>
      </c>
      <c r="H599">
        <v>19854.3</v>
      </c>
      <c r="I599">
        <v>3.6</v>
      </c>
    </row>
    <row r="600" spans="1:9" x14ac:dyDescent="0.35">
      <c r="A600" t="s">
        <v>923</v>
      </c>
      <c r="B600" t="s">
        <v>161</v>
      </c>
      <c r="C600" t="s">
        <v>11</v>
      </c>
      <c r="D600" t="s">
        <v>19</v>
      </c>
      <c r="E600" t="s">
        <v>20</v>
      </c>
      <c r="F600">
        <v>25</v>
      </c>
      <c r="G600">
        <v>1144.21</v>
      </c>
      <c r="H600">
        <v>28605.25</v>
      </c>
      <c r="I600">
        <v>3.5</v>
      </c>
    </row>
    <row r="601" spans="1:9" x14ac:dyDescent="0.35">
      <c r="A601" t="s">
        <v>924</v>
      </c>
      <c r="B601" t="s">
        <v>190</v>
      </c>
      <c r="C601" t="s">
        <v>11</v>
      </c>
      <c r="D601" t="s">
        <v>19</v>
      </c>
      <c r="E601" t="s">
        <v>20</v>
      </c>
      <c r="F601">
        <v>10</v>
      </c>
      <c r="G601">
        <v>1045.42</v>
      </c>
      <c r="H601">
        <v>10454.200000000001</v>
      </c>
      <c r="I601">
        <v>3.9</v>
      </c>
    </row>
    <row r="602" spans="1:9" x14ac:dyDescent="0.35">
      <c r="A602" t="s">
        <v>925</v>
      </c>
      <c r="B602" t="s">
        <v>926</v>
      </c>
      <c r="C602" t="s">
        <v>11</v>
      </c>
      <c r="D602" t="s">
        <v>19</v>
      </c>
      <c r="E602" t="s">
        <v>20</v>
      </c>
      <c r="F602">
        <v>11</v>
      </c>
      <c r="G602">
        <v>1472.07</v>
      </c>
      <c r="H602">
        <v>16192.77</v>
      </c>
      <c r="I602">
        <v>4.5</v>
      </c>
    </row>
    <row r="603" spans="1:9" x14ac:dyDescent="0.35">
      <c r="A603" t="s">
        <v>927</v>
      </c>
      <c r="B603" t="s">
        <v>549</v>
      </c>
      <c r="C603" t="s">
        <v>23</v>
      </c>
      <c r="D603" t="s">
        <v>24</v>
      </c>
      <c r="E603" t="s">
        <v>69</v>
      </c>
      <c r="F603">
        <v>2</v>
      </c>
      <c r="G603">
        <v>106.75</v>
      </c>
      <c r="H603">
        <v>213.5</v>
      </c>
      <c r="I603">
        <v>4.8</v>
      </c>
    </row>
    <row r="604" spans="1:9" x14ac:dyDescent="0.35">
      <c r="A604" t="s">
        <v>928</v>
      </c>
      <c r="B604" t="s">
        <v>482</v>
      </c>
      <c r="C604" t="s">
        <v>23</v>
      </c>
      <c r="D604" t="s">
        <v>24</v>
      </c>
      <c r="E604" t="s">
        <v>44</v>
      </c>
      <c r="F604">
        <v>10</v>
      </c>
      <c r="G604">
        <v>1374.66</v>
      </c>
      <c r="H604">
        <v>13746.6</v>
      </c>
      <c r="I604">
        <v>4.4000000000000004</v>
      </c>
    </row>
    <row r="605" spans="1:9" x14ac:dyDescent="0.35">
      <c r="A605" t="s">
        <v>929</v>
      </c>
      <c r="B605" t="s">
        <v>35</v>
      </c>
      <c r="C605" t="s">
        <v>38</v>
      </c>
      <c r="D605" t="s">
        <v>24</v>
      </c>
      <c r="E605" t="s">
        <v>44</v>
      </c>
      <c r="F605">
        <v>5</v>
      </c>
      <c r="G605">
        <v>1168.0999999999999</v>
      </c>
      <c r="H605">
        <v>5840.5</v>
      </c>
      <c r="I605">
        <v>4.5</v>
      </c>
    </row>
    <row r="606" spans="1:9" x14ac:dyDescent="0.35">
      <c r="A606" t="s">
        <v>930</v>
      </c>
      <c r="B606" t="s">
        <v>52</v>
      </c>
      <c r="C606" t="s">
        <v>11</v>
      </c>
      <c r="D606" t="s">
        <v>12</v>
      </c>
      <c r="E606" t="s">
        <v>17</v>
      </c>
      <c r="F606">
        <v>3</v>
      </c>
      <c r="G606">
        <v>186.08</v>
      </c>
      <c r="H606">
        <v>558.24</v>
      </c>
      <c r="I606">
        <v>3.5</v>
      </c>
    </row>
    <row r="607" spans="1:9" x14ac:dyDescent="0.35">
      <c r="A607" t="s">
        <v>931</v>
      </c>
      <c r="B607" t="s">
        <v>701</v>
      </c>
      <c r="C607" t="s">
        <v>11</v>
      </c>
      <c r="D607" t="s">
        <v>24</v>
      </c>
      <c r="E607" t="s">
        <v>69</v>
      </c>
      <c r="F607">
        <v>4</v>
      </c>
      <c r="G607">
        <v>793.52</v>
      </c>
      <c r="H607">
        <v>3174.08</v>
      </c>
      <c r="I607">
        <v>4.2</v>
      </c>
    </row>
    <row r="608" spans="1:9" x14ac:dyDescent="0.35">
      <c r="A608" t="s">
        <v>932</v>
      </c>
      <c r="B608" t="s">
        <v>933</v>
      </c>
      <c r="C608" t="s">
        <v>16</v>
      </c>
      <c r="D608" t="s">
        <v>12</v>
      </c>
      <c r="E608" t="s">
        <v>90</v>
      </c>
      <c r="F608">
        <v>24</v>
      </c>
      <c r="G608">
        <v>940.09</v>
      </c>
      <c r="H608">
        <v>22562.16</v>
      </c>
      <c r="I608">
        <v>4.4000000000000004</v>
      </c>
    </row>
    <row r="609" spans="1:9" x14ac:dyDescent="0.35">
      <c r="A609" t="s">
        <v>934</v>
      </c>
      <c r="B609" t="s">
        <v>390</v>
      </c>
      <c r="C609" t="s">
        <v>23</v>
      </c>
      <c r="D609" t="s">
        <v>19</v>
      </c>
      <c r="E609" t="s">
        <v>28</v>
      </c>
      <c r="F609">
        <v>14</v>
      </c>
      <c r="G609">
        <v>77.709999999999994</v>
      </c>
      <c r="H609">
        <v>1087.94</v>
      </c>
      <c r="I609">
        <v>3.1</v>
      </c>
    </row>
    <row r="610" spans="1:9" x14ac:dyDescent="0.35">
      <c r="A610" t="s">
        <v>935</v>
      </c>
      <c r="B610" t="s">
        <v>825</v>
      </c>
      <c r="C610" t="s">
        <v>23</v>
      </c>
      <c r="D610" t="s">
        <v>12</v>
      </c>
      <c r="E610" t="s">
        <v>13</v>
      </c>
      <c r="F610">
        <v>8</v>
      </c>
      <c r="G610">
        <v>1134.04</v>
      </c>
      <c r="H610">
        <v>9072.32</v>
      </c>
      <c r="I610">
        <v>4.4000000000000004</v>
      </c>
    </row>
    <row r="611" spans="1:9" x14ac:dyDescent="0.35">
      <c r="A611" t="s">
        <v>936</v>
      </c>
      <c r="B611" t="s">
        <v>145</v>
      </c>
      <c r="C611" t="s">
        <v>16</v>
      </c>
      <c r="D611" t="s">
        <v>19</v>
      </c>
      <c r="E611" t="s">
        <v>28</v>
      </c>
      <c r="F611">
        <v>13</v>
      </c>
      <c r="G611">
        <v>1328.3</v>
      </c>
      <c r="H611">
        <v>17267.900000000001</v>
      </c>
      <c r="I611">
        <v>3.6</v>
      </c>
    </row>
    <row r="612" spans="1:9" x14ac:dyDescent="0.35">
      <c r="A612" t="s">
        <v>937</v>
      </c>
      <c r="B612" t="s">
        <v>641</v>
      </c>
      <c r="C612" t="s">
        <v>16</v>
      </c>
      <c r="D612" t="s">
        <v>12</v>
      </c>
      <c r="E612" t="s">
        <v>13</v>
      </c>
      <c r="F612">
        <v>19</v>
      </c>
      <c r="G612">
        <v>675.59</v>
      </c>
      <c r="H612">
        <v>12836.21</v>
      </c>
      <c r="I612">
        <v>4.3</v>
      </c>
    </row>
    <row r="613" spans="1:9" x14ac:dyDescent="0.35">
      <c r="A613" t="s">
        <v>938</v>
      </c>
      <c r="B613" t="s">
        <v>266</v>
      </c>
      <c r="C613" t="s">
        <v>11</v>
      </c>
      <c r="D613" t="s">
        <v>19</v>
      </c>
      <c r="E613" t="s">
        <v>28</v>
      </c>
      <c r="F613">
        <v>19</v>
      </c>
      <c r="G613">
        <v>1435.2</v>
      </c>
      <c r="H613">
        <v>27268.799999999999</v>
      </c>
      <c r="I613">
        <v>3.1</v>
      </c>
    </row>
    <row r="614" spans="1:9" x14ac:dyDescent="0.35">
      <c r="A614" t="s">
        <v>939</v>
      </c>
      <c r="B614" t="s">
        <v>175</v>
      </c>
      <c r="C614" t="s">
        <v>11</v>
      </c>
      <c r="D614" t="s">
        <v>12</v>
      </c>
      <c r="E614" t="s">
        <v>90</v>
      </c>
      <c r="F614">
        <v>16</v>
      </c>
      <c r="G614">
        <v>952.49</v>
      </c>
      <c r="H614">
        <v>15239.84</v>
      </c>
      <c r="I614">
        <v>3.4</v>
      </c>
    </row>
    <row r="615" spans="1:9" x14ac:dyDescent="0.35">
      <c r="A615" t="s">
        <v>940</v>
      </c>
      <c r="B615" t="s">
        <v>941</v>
      </c>
      <c r="C615" t="s">
        <v>16</v>
      </c>
      <c r="D615" t="s">
        <v>12</v>
      </c>
      <c r="E615" t="s">
        <v>13</v>
      </c>
      <c r="F615">
        <v>16</v>
      </c>
      <c r="G615">
        <v>1273.57</v>
      </c>
      <c r="H615">
        <v>20377.12</v>
      </c>
      <c r="I615">
        <v>4.2</v>
      </c>
    </row>
    <row r="616" spans="1:9" x14ac:dyDescent="0.35">
      <c r="A616" t="s">
        <v>942</v>
      </c>
      <c r="B616" t="s">
        <v>943</v>
      </c>
      <c r="C616" t="s">
        <v>11</v>
      </c>
      <c r="D616" t="s">
        <v>12</v>
      </c>
      <c r="E616" t="s">
        <v>90</v>
      </c>
      <c r="F616">
        <v>22</v>
      </c>
      <c r="G616">
        <v>119.72</v>
      </c>
      <c r="H616">
        <v>2633.84</v>
      </c>
      <c r="I616">
        <v>3.7</v>
      </c>
    </row>
    <row r="617" spans="1:9" x14ac:dyDescent="0.35">
      <c r="A617" t="s">
        <v>944</v>
      </c>
      <c r="B617" t="s">
        <v>809</v>
      </c>
      <c r="C617" t="s">
        <v>11</v>
      </c>
      <c r="D617" t="s">
        <v>19</v>
      </c>
      <c r="E617" t="s">
        <v>20</v>
      </c>
      <c r="F617">
        <v>14</v>
      </c>
      <c r="G617">
        <v>469.03</v>
      </c>
      <c r="H617">
        <v>6566.42</v>
      </c>
      <c r="I617">
        <v>4.4000000000000004</v>
      </c>
    </row>
    <row r="618" spans="1:9" x14ac:dyDescent="0.35">
      <c r="A618" t="s">
        <v>945</v>
      </c>
      <c r="B618" t="s">
        <v>447</v>
      </c>
      <c r="C618" t="s">
        <v>38</v>
      </c>
      <c r="D618" t="s">
        <v>24</v>
      </c>
      <c r="E618" t="s">
        <v>44</v>
      </c>
      <c r="F618">
        <v>1</v>
      </c>
      <c r="G618">
        <v>1185.46</v>
      </c>
      <c r="H618">
        <v>1185.46</v>
      </c>
      <c r="I618">
        <v>3.1</v>
      </c>
    </row>
    <row r="619" spans="1:9" x14ac:dyDescent="0.35">
      <c r="A619" t="s">
        <v>946</v>
      </c>
      <c r="B619" t="s">
        <v>118</v>
      </c>
      <c r="C619" t="s">
        <v>38</v>
      </c>
      <c r="D619" t="s">
        <v>19</v>
      </c>
      <c r="E619" t="s">
        <v>31</v>
      </c>
      <c r="F619">
        <v>24</v>
      </c>
      <c r="G619">
        <v>605.83000000000004</v>
      </c>
      <c r="H619">
        <v>14539.92</v>
      </c>
      <c r="I619">
        <v>3.3</v>
      </c>
    </row>
    <row r="620" spans="1:9" x14ac:dyDescent="0.35">
      <c r="A620" t="s">
        <v>947</v>
      </c>
      <c r="B620" t="s">
        <v>109</v>
      </c>
      <c r="C620" t="s">
        <v>16</v>
      </c>
      <c r="D620" t="s">
        <v>19</v>
      </c>
      <c r="E620" t="s">
        <v>31</v>
      </c>
      <c r="F620">
        <v>7</v>
      </c>
      <c r="G620">
        <v>85.43</v>
      </c>
      <c r="H620">
        <v>598.01</v>
      </c>
      <c r="I620">
        <v>4.0999999999999996</v>
      </c>
    </row>
    <row r="621" spans="1:9" x14ac:dyDescent="0.35">
      <c r="A621" t="s">
        <v>948</v>
      </c>
      <c r="B621" t="s">
        <v>628</v>
      </c>
      <c r="C621" t="s">
        <v>38</v>
      </c>
      <c r="D621" t="s">
        <v>19</v>
      </c>
      <c r="E621" t="s">
        <v>28</v>
      </c>
      <c r="F621">
        <v>5</v>
      </c>
      <c r="G621">
        <v>1103.8599999999999</v>
      </c>
      <c r="H621">
        <v>5519.3</v>
      </c>
      <c r="I621">
        <v>3.4</v>
      </c>
    </row>
    <row r="622" spans="1:9" x14ac:dyDescent="0.35">
      <c r="A622" t="s">
        <v>949</v>
      </c>
      <c r="B622" t="s">
        <v>321</v>
      </c>
      <c r="C622" t="s">
        <v>16</v>
      </c>
      <c r="D622" t="s">
        <v>19</v>
      </c>
      <c r="E622" t="s">
        <v>20</v>
      </c>
      <c r="F622">
        <v>22</v>
      </c>
      <c r="G622">
        <v>228.26</v>
      </c>
      <c r="H622">
        <v>5021.72</v>
      </c>
      <c r="I622">
        <v>3.9</v>
      </c>
    </row>
    <row r="623" spans="1:9" x14ac:dyDescent="0.35">
      <c r="A623" t="s">
        <v>950</v>
      </c>
      <c r="B623" t="s">
        <v>633</v>
      </c>
      <c r="C623" t="s">
        <v>11</v>
      </c>
      <c r="D623" t="s">
        <v>24</v>
      </c>
      <c r="E623" t="s">
        <v>44</v>
      </c>
      <c r="F623">
        <v>24</v>
      </c>
      <c r="G623">
        <v>813.12</v>
      </c>
      <c r="H623">
        <v>19514.88</v>
      </c>
      <c r="I623">
        <v>4.7</v>
      </c>
    </row>
    <row r="624" spans="1:9" x14ac:dyDescent="0.35">
      <c r="A624" t="s">
        <v>951</v>
      </c>
      <c r="B624" t="s">
        <v>447</v>
      </c>
      <c r="C624" t="s">
        <v>11</v>
      </c>
      <c r="D624" t="s">
        <v>19</v>
      </c>
      <c r="E624" t="s">
        <v>20</v>
      </c>
      <c r="F624">
        <v>6</v>
      </c>
      <c r="G624">
        <v>1135.95</v>
      </c>
      <c r="H624">
        <v>6815.7</v>
      </c>
      <c r="I624">
        <v>4.5</v>
      </c>
    </row>
    <row r="625" spans="1:9" x14ac:dyDescent="0.35">
      <c r="A625" t="s">
        <v>952</v>
      </c>
      <c r="B625" t="s">
        <v>310</v>
      </c>
      <c r="C625" t="s">
        <v>16</v>
      </c>
      <c r="D625" t="s">
        <v>12</v>
      </c>
      <c r="E625" t="s">
        <v>90</v>
      </c>
      <c r="F625">
        <v>19</v>
      </c>
      <c r="G625">
        <v>1400.98</v>
      </c>
      <c r="H625">
        <v>26618.62</v>
      </c>
      <c r="I625">
        <v>3.5</v>
      </c>
    </row>
    <row r="626" spans="1:9" x14ac:dyDescent="0.35">
      <c r="A626" t="s">
        <v>953</v>
      </c>
      <c r="B626" t="s">
        <v>845</v>
      </c>
      <c r="C626" t="s">
        <v>11</v>
      </c>
      <c r="D626" t="s">
        <v>24</v>
      </c>
      <c r="E626" t="s">
        <v>25</v>
      </c>
      <c r="F626">
        <v>7</v>
      </c>
      <c r="G626">
        <v>1185.54</v>
      </c>
      <c r="H626">
        <v>8298.7800000000007</v>
      </c>
      <c r="I626">
        <v>4.4000000000000004</v>
      </c>
    </row>
    <row r="627" spans="1:9" x14ac:dyDescent="0.35">
      <c r="A627" t="s">
        <v>954</v>
      </c>
      <c r="B627" t="s">
        <v>101</v>
      </c>
      <c r="C627" t="s">
        <v>11</v>
      </c>
      <c r="D627" t="s">
        <v>12</v>
      </c>
      <c r="E627" t="s">
        <v>90</v>
      </c>
      <c r="F627">
        <v>11</v>
      </c>
      <c r="G627">
        <v>286.64</v>
      </c>
      <c r="H627">
        <v>3153.04</v>
      </c>
      <c r="I627">
        <v>3.7</v>
      </c>
    </row>
    <row r="628" spans="1:9" x14ac:dyDescent="0.35">
      <c r="A628" t="s">
        <v>955</v>
      </c>
      <c r="B628" t="s">
        <v>175</v>
      </c>
      <c r="C628" t="s">
        <v>11</v>
      </c>
      <c r="D628" t="s">
        <v>24</v>
      </c>
      <c r="E628" t="s">
        <v>25</v>
      </c>
      <c r="F628">
        <v>20</v>
      </c>
      <c r="G628">
        <v>513.74</v>
      </c>
      <c r="H628">
        <v>10274.799999999999</v>
      </c>
      <c r="I628">
        <v>4.5</v>
      </c>
    </row>
    <row r="629" spans="1:9" x14ac:dyDescent="0.35">
      <c r="A629" t="s">
        <v>956</v>
      </c>
      <c r="B629" t="s">
        <v>916</v>
      </c>
      <c r="C629" t="s">
        <v>38</v>
      </c>
      <c r="D629" t="s">
        <v>12</v>
      </c>
      <c r="E629" t="s">
        <v>90</v>
      </c>
      <c r="F629">
        <v>8</v>
      </c>
      <c r="G629">
        <v>865.64</v>
      </c>
      <c r="H629">
        <v>6925.12</v>
      </c>
      <c r="I629">
        <v>4.9000000000000004</v>
      </c>
    </row>
    <row r="630" spans="1:9" x14ac:dyDescent="0.35">
      <c r="A630" t="s">
        <v>957</v>
      </c>
      <c r="B630" t="s">
        <v>958</v>
      </c>
      <c r="C630" t="s">
        <v>16</v>
      </c>
      <c r="D630" t="s">
        <v>19</v>
      </c>
      <c r="E630" t="s">
        <v>20</v>
      </c>
      <c r="F630">
        <v>8</v>
      </c>
      <c r="G630">
        <v>715.82</v>
      </c>
      <c r="H630">
        <v>5726.56</v>
      </c>
      <c r="I630">
        <v>3.5</v>
      </c>
    </row>
    <row r="631" spans="1:9" x14ac:dyDescent="0.35">
      <c r="A631" t="s">
        <v>959</v>
      </c>
      <c r="B631" t="s">
        <v>284</v>
      </c>
      <c r="C631" t="s">
        <v>11</v>
      </c>
      <c r="D631" t="s">
        <v>12</v>
      </c>
      <c r="E631" t="s">
        <v>13</v>
      </c>
      <c r="F631">
        <v>16</v>
      </c>
      <c r="G631">
        <v>1415.22</v>
      </c>
      <c r="H631">
        <v>22643.52</v>
      </c>
      <c r="I631">
        <v>3.1</v>
      </c>
    </row>
    <row r="632" spans="1:9" x14ac:dyDescent="0.35">
      <c r="A632" t="s">
        <v>960</v>
      </c>
      <c r="B632" t="s">
        <v>370</v>
      </c>
      <c r="C632" t="s">
        <v>16</v>
      </c>
      <c r="D632" t="s">
        <v>24</v>
      </c>
      <c r="E632" t="s">
        <v>69</v>
      </c>
      <c r="F632">
        <v>16</v>
      </c>
      <c r="G632">
        <v>751.5</v>
      </c>
      <c r="H632">
        <v>12024</v>
      </c>
      <c r="I632">
        <v>3.3</v>
      </c>
    </row>
    <row r="633" spans="1:9" x14ac:dyDescent="0.35">
      <c r="A633" t="s">
        <v>961</v>
      </c>
      <c r="B633" t="s">
        <v>165</v>
      </c>
      <c r="C633" t="s">
        <v>23</v>
      </c>
      <c r="D633" t="s">
        <v>19</v>
      </c>
      <c r="E633" t="s">
        <v>31</v>
      </c>
      <c r="F633">
        <v>7</v>
      </c>
      <c r="G633">
        <v>1381.08</v>
      </c>
      <c r="H633">
        <v>9667.56</v>
      </c>
      <c r="I633">
        <v>4.7</v>
      </c>
    </row>
    <row r="634" spans="1:9" x14ac:dyDescent="0.35">
      <c r="A634" t="s">
        <v>962</v>
      </c>
      <c r="B634" t="s">
        <v>605</v>
      </c>
      <c r="C634" t="s">
        <v>11</v>
      </c>
      <c r="D634" t="s">
        <v>19</v>
      </c>
      <c r="E634" t="s">
        <v>20</v>
      </c>
      <c r="F634">
        <v>17</v>
      </c>
      <c r="G634">
        <v>614.53</v>
      </c>
      <c r="H634">
        <v>10447.01</v>
      </c>
      <c r="I634">
        <v>4.8</v>
      </c>
    </row>
    <row r="635" spans="1:9" x14ac:dyDescent="0.35">
      <c r="A635" t="s">
        <v>963</v>
      </c>
      <c r="B635" t="s">
        <v>964</v>
      </c>
      <c r="C635" t="s">
        <v>11</v>
      </c>
      <c r="D635" t="s">
        <v>24</v>
      </c>
      <c r="E635" t="s">
        <v>69</v>
      </c>
      <c r="F635">
        <v>2</v>
      </c>
      <c r="G635">
        <v>11.76</v>
      </c>
      <c r="H635">
        <v>23.52</v>
      </c>
      <c r="I635">
        <v>3.6</v>
      </c>
    </row>
    <row r="636" spans="1:9" x14ac:dyDescent="0.35">
      <c r="A636" t="s">
        <v>965</v>
      </c>
      <c r="B636" t="s">
        <v>966</v>
      </c>
      <c r="C636" t="s">
        <v>23</v>
      </c>
      <c r="D636" t="s">
        <v>19</v>
      </c>
      <c r="E636" t="s">
        <v>20</v>
      </c>
      <c r="F636">
        <v>11</v>
      </c>
      <c r="G636">
        <v>1135.9000000000001</v>
      </c>
      <c r="H636">
        <v>12494.9</v>
      </c>
      <c r="I636">
        <v>3.4</v>
      </c>
    </row>
    <row r="637" spans="1:9" x14ac:dyDescent="0.35">
      <c r="A637" t="s">
        <v>967</v>
      </c>
      <c r="B637" t="s">
        <v>918</v>
      </c>
      <c r="C637" t="s">
        <v>38</v>
      </c>
      <c r="D637" t="s">
        <v>24</v>
      </c>
      <c r="E637" t="s">
        <v>44</v>
      </c>
      <c r="F637">
        <v>19</v>
      </c>
      <c r="G637">
        <v>1380.91</v>
      </c>
      <c r="H637">
        <v>26237.29</v>
      </c>
      <c r="I637">
        <v>4.7</v>
      </c>
    </row>
    <row r="638" spans="1:9" x14ac:dyDescent="0.35">
      <c r="A638" t="s">
        <v>968</v>
      </c>
      <c r="B638" t="s">
        <v>252</v>
      </c>
      <c r="C638" t="s">
        <v>16</v>
      </c>
      <c r="D638" t="s">
        <v>19</v>
      </c>
      <c r="E638" t="s">
        <v>20</v>
      </c>
      <c r="F638">
        <v>17</v>
      </c>
      <c r="G638">
        <v>1281.8599999999999</v>
      </c>
      <c r="H638">
        <v>21791.62</v>
      </c>
      <c r="I638">
        <v>4.7</v>
      </c>
    </row>
    <row r="639" spans="1:9" x14ac:dyDescent="0.35">
      <c r="A639" t="s">
        <v>969</v>
      </c>
      <c r="B639" t="s">
        <v>970</v>
      </c>
      <c r="C639" t="s">
        <v>23</v>
      </c>
      <c r="D639" t="s">
        <v>19</v>
      </c>
      <c r="E639" t="s">
        <v>28</v>
      </c>
      <c r="F639">
        <v>24</v>
      </c>
      <c r="G639">
        <v>1220.54</v>
      </c>
      <c r="H639">
        <v>29292.959999999999</v>
      </c>
      <c r="I639">
        <v>3.6</v>
      </c>
    </row>
    <row r="640" spans="1:9" x14ac:dyDescent="0.35">
      <c r="A640" t="s">
        <v>971</v>
      </c>
      <c r="B640" t="s">
        <v>628</v>
      </c>
      <c r="C640" t="s">
        <v>23</v>
      </c>
      <c r="D640" t="s">
        <v>12</v>
      </c>
      <c r="E640" t="s">
        <v>90</v>
      </c>
      <c r="F640">
        <v>17</v>
      </c>
      <c r="G640">
        <v>1381.39</v>
      </c>
      <c r="H640">
        <v>23483.63</v>
      </c>
      <c r="I640">
        <v>3.6</v>
      </c>
    </row>
    <row r="641" spans="1:9" x14ac:dyDescent="0.35">
      <c r="A641" t="s">
        <v>972</v>
      </c>
      <c r="B641" t="s">
        <v>479</v>
      </c>
      <c r="C641" t="s">
        <v>11</v>
      </c>
      <c r="D641" t="s">
        <v>19</v>
      </c>
      <c r="E641" t="s">
        <v>20</v>
      </c>
      <c r="F641">
        <v>12</v>
      </c>
      <c r="G641">
        <v>393.86</v>
      </c>
      <c r="H641">
        <v>4726.32</v>
      </c>
      <c r="I641">
        <v>4.3</v>
      </c>
    </row>
    <row r="642" spans="1:9" x14ac:dyDescent="0.35">
      <c r="A642" t="s">
        <v>973</v>
      </c>
      <c r="B642" t="s">
        <v>974</v>
      </c>
      <c r="C642" t="s">
        <v>38</v>
      </c>
      <c r="D642" t="s">
        <v>12</v>
      </c>
      <c r="E642" t="s">
        <v>90</v>
      </c>
      <c r="F642">
        <v>12</v>
      </c>
      <c r="G642">
        <v>1438.02</v>
      </c>
      <c r="H642">
        <v>17256.240000000002</v>
      </c>
      <c r="I642">
        <v>3.2</v>
      </c>
    </row>
    <row r="643" spans="1:9" x14ac:dyDescent="0.35">
      <c r="A643" t="s">
        <v>975</v>
      </c>
      <c r="B643" t="s">
        <v>943</v>
      </c>
      <c r="C643" t="s">
        <v>23</v>
      </c>
      <c r="D643" t="s">
        <v>12</v>
      </c>
      <c r="E643" t="s">
        <v>90</v>
      </c>
      <c r="F643">
        <v>20</v>
      </c>
      <c r="G643">
        <v>551.77</v>
      </c>
      <c r="H643">
        <v>11035.4</v>
      </c>
      <c r="I643">
        <v>4.7</v>
      </c>
    </row>
    <row r="644" spans="1:9" x14ac:dyDescent="0.35">
      <c r="A644" t="s">
        <v>976</v>
      </c>
      <c r="B644" t="s">
        <v>641</v>
      </c>
      <c r="C644" t="s">
        <v>11</v>
      </c>
      <c r="D644" t="s">
        <v>24</v>
      </c>
      <c r="E644" t="s">
        <v>69</v>
      </c>
      <c r="F644">
        <v>11</v>
      </c>
      <c r="G644">
        <v>458.22</v>
      </c>
      <c r="H644">
        <v>5040.42</v>
      </c>
      <c r="I644">
        <v>3.4</v>
      </c>
    </row>
    <row r="645" spans="1:9" x14ac:dyDescent="0.35">
      <c r="A645" t="s">
        <v>977</v>
      </c>
      <c r="B645" t="s">
        <v>37</v>
      </c>
      <c r="C645" t="s">
        <v>16</v>
      </c>
      <c r="D645" t="s">
        <v>24</v>
      </c>
      <c r="E645" t="s">
        <v>69</v>
      </c>
      <c r="F645">
        <v>14</v>
      </c>
      <c r="G645">
        <v>388.9</v>
      </c>
      <c r="H645">
        <v>5444.6</v>
      </c>
      <c r="I645">
        <v>4.0999999999999996</v>
      </c>
    </row>
    <row r="646" spans="1:9" x14ac:dyDescent="0.35">
      <c r="A646" t="s">
        <v>978</v>
      </c>
      <c r="B646" t="s">
        <v>717</v>
      </c>
      <c r="C646" t="s">
        <v>23</v>
      </c>
      <c r="D646" t="s">
        <v>24</v>
      </c>
      <c r="E646" t="s">
        <v>69</v>
      </c>
      <c r="F646">
        <v>17</v>
      </c>
      <c r="G646">
        <v>733.18</v>
      </c>
      <c r="H646">
        <v>12464.06</v>
      </c>
      <c r="I646">
        <v>4.9000000000000004</v>
      </c>
    </row>
    <row r="647" spans="1:9" x14ac:dyDescent="0.35">
      <c r="A647" t="s">
        <v>979</v>
      </c>
      <c r="B647" t="s">
        <v>167</v>
      </c>
      <c r="C647" t="s">
        <v>38</v>
      </c>
      <c r="D647" t="s">
        <v>19</v>
      </c>
      <c r="E647" t="s">
        <v>20</v>
      </c>
      <c r="F647">
        <v>22</v>
      </c>
      <c r="G647">
        <v>701.58</v>
      </c>
      <c r="H647">
        <v>15434.76</v>
      </c>
      <c r="I647">
        <v>4.5999999999999996</v>
      </c>
    </row>
    <row r="648" spans="1:9" x14ac:dyDescent="0.35">
      <c r="A648" t="s">
        <v>980</v>
      </c>
      <c r="B648" t="s">
        <v>981</v>
      </c>
      <c r="C648" t="s">
        <v>16</v>
      </c>
      <c r="D648" t="s">
        <v>12</v>
      </c>
      <c r="E648" t="s">
        <v>13</v>
      </c>
      <c r="F648">
        <v>8</v>
      </c>
      <c r="G648">
        <v>1161.49</v>
      </c>
      <c r="H648">
        <v>9291.92</v>
      </c>
      <c r="I648">
        <v>4.4000000000000004</v>
      </c>
    </row>
    <row r="649" spans="1:9" x14ac:dyDescent="0.35">
      <c r="A649" t="s">
        <v>982</v>
      </c>
      <c r="B649" t="s">
        <v>192</v>
      </c>
      <c r="C649" t="s">
        <v>11</v>
      </c>
      <c r="D649" t="s">
        <v>12</v>
      </c>
      <c r="E649" t="s">
        <v>13</v>
      </c>
      <c r="F649">
        <v>4</v>
      </c>
      <c r="G649">
        <v>1167.1400000000001</v>
      </c>
      <c r="H649">
        <v>4668.5600000000004</v>
      </c>
      <c r="I649">
        <v>3.9</v>
      </c>
    </row>
    <row r="650" spans="1:9" x14ac:dyDescent="0.35">
      <c r="A650" t="s">
        <v>983</v>
      </c>
      <c r="B650" t="s">
        <v>474</v>
      </c>
      <c r="C650" t="s">
        <v>23</v>
      </c>
      <c r="D650" t="s">
        <v>12</v>
      </c>
      <c r="E650" t="s">
        <v>13</v>
      </c>
      <c r="F650">
        <v>9</v>
      </c>
      <c r="G650">
        <v>680.57</v>
      </c>
      <c r="H650">
        <v>6125.13</v>
      </c>
      <c r="I650">
        <v>3.7</v>
      </c>
    </row>
    <row r="651" spans="1:9" x14ac:dyDescent="0.35">
      <c r="A651" t="s">
        <v>984</v>
      </c>
      <c r="B651" t="s">
        <v>374</v>
      </c>
      <c r="C651" t="s">
        <v>11</v>
      </c>
      <c r="D651" t="s">
        <v>19</v>
      </c>
      <c r="E651" t="s">
        <v>28</v>
      </c>
      <c r="F651">
        <v>7</v>
      </c>
      <c r="G651">
        <v>404.65</v>
      </c>
      <c r="H651">
        <v>2832.55</v>
      </c>
      <c r="I651">
        <v>3.4</v>
      </c>
    </row>
    <row r="652" spans="1:9" x14ac:dyDescent="0.35">
      <c r="A652" t="s">
        <v>985</v>
      </c>
      <c r="B652" t="s">
        <v>648</v>
      </c>
      <c r="C652" t="s">
        <v>23</v>
      </c>
      <c r="D652" t="s">
        <v>19</v>
      </c>
      <c r="E652" t="s">
        <v>20</v>
      </c>
      <c r="F652">
        <v>8</v>
      </c>
      <c r="G652">
        <v>362.23</v>
      </c>
      <c r="H652">
        <v>2897.84</v>
      </c>
      <c r="I652">
        <v>4.4000000000000004</v>
      </c>
    </row>
    <row r="653" spans="1:9" x14ac:dyDescent="0.35">
      <c r="A653" t="s">
        <v>986</v>
      </c>
      <c r="B653" t="s">
        <v>237</v>
      </c>
      <c r="C653" t="s">
        <v>11</v>
      </c>
      <c r="D653" t="s">
        <v>24</v>
      </c>
      <c r="E653" t="s">
        <v>25</v>
      </c>
      <c r="F653">
        <v>22</v>
      </c>
      <c r="G653">
        <v>283.17</v>
      </c>
      <c r="H653">
        <v>6229.74</v>
      </c>
      <c r="I653">
        <v>4</v>
      </c>
    </row>
    <row r="654" spans="1:9" x14ac:dyDescent="0.35">
      <c r="A654" t="s">
        <v>987</v>
      </c>
      <c r="B654" t="s">
        <v>576</v>
      </c>
      <c r="C654" t="s">
        <v>16</v>
      </c>
      <c r="D654" t="s">
        <v>12</v>
      </c>
      <c r="E654" t="s">
        <v>17</v>
      </c>
      <c r="F654">
        <v>16</v>
      </c>
      <c r="G654">
        <v>624.95000000000005</v>
      </c>
      <c r="H654">
        <v>9999.2000000000007</v>
      </c>
      <c r="I654">
        <v>4.0999999999999996</v>
      </c>
    </row>
    <row r="655" spans="1:9" x14ac:dyDescent="0.35">
      <c r="A655" t="s">
        <v>988</v>
      </c>
      <c r="B655" t="s">
        <v>676</v>
      </c>
      <c r="C655" t="s">
        <v>38</v>
      </c>
      <c r="D655" t="s">
        <v>12</v>
      </c>
      <c r="E655" t="s">
        <v>17</v>
      </c>
      <c r="F655">
        <v>11</v>
      </c>
      <c r="G655">
        <v>449.92</v>
      </c>
      <c r="H655">
        <v>4949.12</v>
      </c>
      <c r="I655">
        <v>4.2</v>
      </c>
    </row>
    <row r="656" spans="1:9" x14ac:dyDescent="0.35">
      <c r="A656" t="s">
        <v>989</v>
      </c>
      <c r="B656" t="s">
        <v>605</v>
      </c>
      <c r="C656" t="s">
        <v>23</v>
      </c>
      <c r="D656" t="s">
        <v>19</v>
      </c>
      <c r="E656" t="s">
        <v>20</v>
      </c>
      <c r="F656">
        <v>18</v>
      </c>
      <c r="G656">
        <v>569.16</v>
      </c>
      <c r="H656">
        <v>10244.879999999999</v>
      </c>
      <c r="I656">
        <v>3.3</v>
      </c>
    </row>
    <row r="657" spans="1:9" x14ac:dyDescent="0.35">
      <c r="A657" t="s">
        <v>990</v>
      </c>
      <c r="B657" t="s">
        <v>235</v>
      </c>
      <c r="C657" t="s">
        <v>11</v>
      </c>
      <c r="D657" t="s">
        <v>24</v>
      </c>
      <c r="E657" t="s">
        <v>25</v>
      </c>
      <c r="F657">
        <v>19</v>
      </c>
      <c r="G657">
        <v>111.11</v>
      </c>
      <c r="H657">
        <v>2111.09</v>
      </c>
      <c r="I657">
        <v>4.8</v>
      </c>
    </row>
    <row r="658" spans="1:9" x14ac:dyDescent="0.35">
      <c r="A658" t="s">
        <v>991</v>
      </c>
      <c r="B658" t="s">
        <v>970</v>
      </c>
      <c r="C658" t="s">
        <v>11</v>
      </c>
      <c r="D658" t="s">
        <v>12</v>
      </c>
      <c r="E658" t="s">
        <v>17</v>
      </c>
      <c r="F658">
        <v>23</v>
      </c>
      <c r="G658">
        <v>470.93</v>
      </c>
      <c r="H658">
        <v>10831.39</v>
      </c>
      <c r="I658">
        <v>4.2</v>
      </c>
    </row>
    <row r="659" spans="1:9" x14ac:dyDescent="0.35">
      <c r="A659" t="s">
        <v>992</v>
      </c>
      <c r="B659" t="s">
        <v>543</v>
      </c>
      <c r="C659" t="s">
        <v>38</v>
      </c>
      <c r="D659" t="s">
        <v>19</v>
      </c>
      <c r="E659" t="s">
        <v>20</v>
      </c>
      <c r="F659">
        <v>10</v>
      </c>
      <c r="G659">
        <v>864.88</v>
      </c>
      <c r="H659">
        <v>8648.7999999999993</v>
      </c>
      <c r="I659">
        <v>4.5</v>
      </c>
    </row>
    <row r="660" spans="1:9" x14ac:dyDescent="0.35">
      <c r="A660" t="s">
        <v>993</v>
      </c>
      <c r="B660" t="s">
        <v>264</v>
      </c>
      <c r="C660" t="s">
        <v>23</v>
      </c>
      <c r="D660" t="s">
        <v>12</v>
      </c>
      <c r="E660" t="s">
        <v>90</v>
      </c>
      <c r="F660">
        <v>8</v>
      </c>
      <c r="G660">
        <v>943.51</v>
      </c>
      <c r="H660">
        <v>7548.08</v>
      </c>
      <c r="I660">
        <v>4.5</v>
      </c>
    </row>
    <row r="661" spans="1:9" x14ac:dyDescent="0.35">
      <c r="A661" t="s">
        <v>994</v>
      </c>
      <c r="B661" t="s">
        <v>995</v>
      </c>
      <c r="C661" t="s">
        <v>11</v>
      </c>
      <c r="D661" t="s">
        <v>12</v>
      </c>
      <c r="E661" t="s">
        <v>13</v>
      </c>
      <c r="F661">
        <v>23</v>
      </c>
      <c r="G661">
        <v>853.64</v>
      </c>
      <c r="H661">
        <v>19633.72</v>
      </c>
      <c r="I661">
        <v>3.7</v>
      </c>
    </row>
    <row r="662" spans="1:9" x14ac:dyDescent="0.35">
      <c r="A662" t="s">
        <v>996</v>
      </c>
      <c r="B662" t="s">
        <v>281</v>
      </c>
      <c r="C662" t="s">
        <v>11</v>
      </c>
      <c r="D662" t="s">
        <v>24</v>
      </c>
      <c r="E662" t="s">
        <v>44</v>
      </c>
      <c r="F662">
        <v>15</v>
      </c>
      <c r="G662">
        <v>1430.69</v>
      </c>
      <c r="H662">
        <v>21460.35</v>
      </c>
      <c r="I662">
        <v>3.8</v>
      </c>
    </row>
    <row r="663" spans="1:9" x14ac:dyDescent="0.35">
      <c r="A663" t="s">
        <v>997</v>
      </c>
      <c r="B663" t="s">
        <v>699</v>
      </c>
      <c r="C663" t="s">
        <v>11</v>
      </c>
      <c r="D663" t="s">
        <v>24</v>
      </c>
      <c r="E663" t="s">
        <v>44</v>
      </c>
      <c r="F663">
        <v>2</v>
      </c>
      <c r="G663">
        <v>1072.69</v>
      </c>
      <c r="H663">
        <v>2145.38</v>
      </c>
      <c r="I663">
        <v>3</v>
      </c>
    </row>
    <row r="664" spans="1:9" x14ac:dyDescent="0.35">
      <c r="A664" t="s">
        <v>998</v>
      </c>
      <c r="B664" t="s">
        <v>754</v>
      </c>
      <c r="C664" t="s">
        <v>38</v>
      </c>
      <c r="D664" t="s">
        <v>24</v>
      </c>
      <c r="E664" t="s">
        <v>25</v>
      </c>
      <c r="F664">
        <v>16</v>
      </c>
      <c r="G664">
        <v>1400.06</v>
      </c>
      <c r="H664">
        <v>22400.959999999999</v>
      </c>
      <c r="I664">
        <v>4.7</v>
      </c>
    </row>
    <row r="665" spans="1:9" x14ac:dyDescent="0.35">
      <c r="A665" t="s">
        <v>999</v>
      </c>
      <c r="B665" t="s">
        <v>1000</v>
      </c>
      <c r="C665" t="s">
        <v>38</v>
      </c>
      <c r="D665" t="s">
        <v>12</v>
      </c>
      <c r="E665" t="s">
        <v>17</v>
      </c>
      <c r="F665">
        <v>16</v>
      </c>
      <c r="G665">
        <v>677.26</v>
      </c>
      <c r="H665">
        <v>10836.16</v>
      </c>
      <c r="I665">
        <v>3.2</v>
      </c>
    </row>
    <row r="666" spans="1:9" x14ac:dyDescent="0.35">
      <c r="A666" t="s">
        <v>1001</v>
      </c>
      <c r="B666" t="s">
        <v>1002</v>
      </c>
      <c r="C666" t="s">
        <v>23</v>
      </c>
      <c r="D666" t="s">
        <v>19</v>
      </c>
      <c r="E666" t="s">
        <v>20</v>
      </c>
      <c r="F666">
        <v>15</v>
      </c>
      <c r="G666">
        <v>1231.9000000000001</v>
      </c>
      <c r="H666">
        <v>18478.5</v>
      </c>
      <c r="I666">
        <v>3.8</v>
      </c>
    </row>
    <row r="667" spans="1:9" x14ac:dyDescent="0.35">
      <c r="A667" t="s">
        <v>1003</v>
      </c>
      <c r="B667" t="s">
        <v>1004</v>
      </c>
      <c r="C667" t="s">
        <v>11</v>
      </c>
      <c r="D667" t="s">
        <v>12</v>
      </c>
      <c r="E667" t="s">
        <v>17</v>
      </c>
      <c r="F667">
        <v>24</v>
      </c>
      <c r="G667">
        <v>298.95</v>
      </c>
      <c r="H667">
        <v>7174.8</v>
      </c>
      <c r="I667">
        <v>4.4000000000000004</v>
      </c>
    </row>
    <row r="668" spans="1:9" x14ac:dyDescent="0.35">
      <c r="A668" t="s">
        <v>1005</v>
      </c>
      <c r="B668" t="s">
        <v>576</v>
      </c>
      <c r="C668" t="s">
        <v>23</v>
      </c>
      <c r="D668" t="s">
        <v>12</v>
      </c>
      <c r="E668" t="s">
        <v>13</v>
      </c>
      <c r="F668">
        <v>10</v>
      </c>
      <c r="G668">
        <v>781.7</v>
      </c>
      <c r="H668">
        <v>7817</v>
      </c>
      <c r="I668">
        <v>4.7</v>
      </c>
    </row>
    <row r="669" spans="1:9" x14ac:dyDescent="0.35">
      <c r="A669" t="s">
        <v>1006</v>
      </c>
      <c r="B669" t="s">
        <v>169</v>
      </c>
      <c r="C669" t="s">
        <v>23</v>
      </c>
      <c r="D669" t="s">
        <v>12</v>
      </c>
      <c r="E669" t="s">
        <v>13</v>
      </c>
      <c r="F669">
        <v>3</v>
      </c>
      <c r="G669">
        <v>951.08</v>
      </c>
      <c r="H669">
        <v>2853.24</v>
      </c>
      <c r="I669">
        <v>3.6</v>
      </c>
    </row>
    <row r="670" spans="1:9" x14ac:dyDescent="0.35">
      <c r="A670" t="s">
        <v>1007</v>
      </c>
      <c r="B670" t="s">
        <v>748</v>
      </c>
      <c r="C670" t="s">
        <v>11</v>
      </c>
      <c r="D670" t="s">
        <v>19</v>
      </c>
      <c r="E670" t="s">
        <v>31</v>
      </c>
      <c r="F670">
        <v>8</v>
      </c>
      <c r="G670">
        <v>658.26</v>
      </c>
      <c r="H670">
        <v>5266.08</v>
      </c>
      <c r="I670">
        <v>3.7</v>
      </c>
    </row>
    <row r="671" spans="1:9" x14ac:dyDescent="0.35">
      <c r="A671" t="s">
        <v>1008</v>
      </c>
      <c r="B671" t="s">
        <v>124</v>
      </c>
      <c r="C671" t="s">
        <v>23</v>
      </c>
      <c r="D671" t="s">
        <v>24</v>
      </c>
      <c r="E671" t="s">
        <v>25</v>
      </c>
      <c r="F671">
        <v>7</v>
      </c>
      <c r="G671">
        <v>444.92</v>
      </c>
      <c r="H671">
        <v>3114.44</v>
      </c>
      <c r="I671">
        <v>3.3</v>
      </c>
    </row>
    <row r="672" spans="1:9" x14ac:dyDescent="0.35">
      <c r="A672" t="s">
        <v>1009</v>
      </c>
      <c r="B672" t="s">
        <v>128</v>
      </c>
      <c r="C672" t="s">
        <v>23</v>
      </c>
      <c r="D672" t="s">
        <v>19</v>
      </c>
      <c r="E672" t="s">
        <v>31</v>
      </c>
      <c r="F672">
        <v>22</v>
      </c>
      <c r="G672">
        <v>1035.42</v>
      </c>
      <c r="H672">
        <v>22779.24</v>
      </c>
      <c r="I672">
        <v>4.7</v>
      </c>
    </row>
    <row r="673" spans="1:9" x14ac:dyDescent="0.35">
      <c r="A673" t="s">
        <v>1010</v>
      </c>
      <c r="B673" t="s">
        <v>1011</v>
      </c>
      <c r="C673" t="s">
        <v>38</v>
      </c>
      <c r="D673" t="s">
        <v>24</v>
      </c>
      <c r="E673" t="s">
        <v>44</v>
      </c>
      <c r="F673">
        <v>14</v>
      </c>
      <c r="G673">
        <v>443.01</v>
      </c>
      <c r="H673">
        <v>6202.14</v>
      </c>
      <c r="I673">
        <v>4.7</v>
      </c>
    </row>
    <row r="674" spans="1:9" x14ac:dyDescent="0.35">
      <c r="A674" t="s">
        <v>1012</v>
      </c>
      <c r="B674" t="s">
        <v>370</v>
      </c>
      <c r="C674" t="s">
        <v>38</v>
      </c>
      <c r="D674" t="s">
        <v>19</v>
      </c>
      <c r="E674" t="s">
        <v>31</v>
      </c>
      <c r="F674">
        <v>5</v>
      </c>
      <c r="G674">
        <v>1397.15</v>
      </c>
      <c r="H674">
        <v>6985.75</v>
      </c>
      <c r="I674">
        <v>4.5</v>
      </c>
    </row>
    <row r="675" spans="1:9" x14ac:dyDescent="0.35">
      <c r="A675" t="s">
        <v>1013</v>
      </c>
      <c r="B675" t="s">
        <v>420</v>
      </c>
      <c r="C675" t="s">
        <v>16</v>
      </c>
      <c r="D675" t="s">
        <v>19</v>
      </c>
      <c r="E675" t="s">
        <v>31</v>
      </c>
      <c r="F675">
        <v>9</v>
      </c>
      <c r="G675">
        <v>810.29</v>
      </c>
      <c r="H675">
        <v>7292.61</v>
      </c>
      <c r="I675">
        <v>3.2</v>
      </c>
    </row>
    <row r="676" spans="1:9" x14ac:dyDescent="0.35">
      <c r="A676" t="s">
        <v>1014</v>
      </c>
      <c r="B676" t="s">
        <v>1002</v>
      </c>
      <c r="C676" t="s">
        <v>11</v>
      </c>
      <c r="D676" t="s">
        <v>24</v>
      </c>
      <c r="E676" t="s">
        <v>44</v>
      </c>
      <c r="F676">
        <v>3</v>
      </c>
      <c r="G676">
        <v>390.33</v>
      </c>
      <c r="H676">
        <v>1170.99</v>
      </c>
      <c r="I676">
        <v>3.9</v>
      </c>
    </row>
    <row r="677" spans="1:9" x14ac:dyDescent="0.35">
      <c r="A677" t="s">
        <v>1015</v>
      </c>
      <c r="B677" t="s">
        <v>329</v>
      </c>
      <c r="C677" t="s">
        <v>23</v>
      </c>
      <c r="D677" t="s">
        <v>24</v>
      </c>
      <c r="E677" t="s">
        <v>44</v>
      </c>
      <c r="F677">
        <v>11</v>
      </c>
      <c r="G677">
        <v>16.82</v>
      </c>
      <c r="H677">
        <v>185.02</v>
      </c>
      <c r="I677">
        <v>3</v>
      </c>
    </row>
    <row r="678" spans="1:9" x14ac:dyDescent="0.35">
      <c r="A678" t="s">
        <v>1016</v>
      </c>
      <c r="B678" t="s">
        <v>877</v>
      </c>
      <c r="C678" t="s">
        <v>11</v>
      </c>
      <c r="D678" t="s">
        <v>24</v>
      </c>
      <c r="E678" t="s">
        <v>25</v>
      </c>
      <c r="F678">
        <v>14</v>
      </c>
      <c r="G678">
        <v>165.43</v>
      </c>
      <c r="H678">
        <v>2316.02</v>
      </c>
      <c r="I678">
        <v>4.4000000000000004</v>
      </c>
    </row>
    <row r="679" spans="1:9" x14ac:dyDescent="0.35">
      <c r="A679" t="s">
        <v>1017</v>
      </c>
      <c r="B679" t="s">
        <v>623</v>
      </c>
      <c r="C679" t="s">
        <v>11</v>
      </c>
      <c r="D679" t="s">
        <v>24</v>
      </c>
      <c r="E679" t="s">
        <v>44</v>
      </c>
      <c r="F679">
        <v>17</v>
      </c>
      <c r="G679">
        <v>35.69</v>
      </c>
      <c r="H679">
        <v>606.73</v>
      </c>
      <c r="I679">
        <v>4.9000000000000004</v>
      </c>
    </row>
    <row r="680" spans="1:9" x14ac:dyDescent="0.35">
      <c r="A680" t="s">
        <v>1018</v>
      </c>
      <c r="B680" t="s">
        <v>788</v>
      </c>
      <c r="C680" t="s">
        <v>11</v>
      </c>
      <c r="D680" t="s">
        <v>19</v>
      </c>
      <c r="E680" t="s">
        <v>31</v>
      </c>
      <c r="F680">
        <v>18</v>
      </c>
      <c r="G680">
        <v>423.58</v>
      </c>
      <c r="H680">
        <v>7624.44</v>
      </c>
      <c r="I680">
        <v>3.7</v>
      </c>
    </row>
    <row r="681" spans="1:9" x14ac:dyDescent="0.35">
      <c r="A681" t="s">
        <v>1019</v>
      </c>
      <c r="B681" t="s">
        <v>1020</v>
      </c>
      <c r="C681" t="s">
        <v>16</v>
      </c>
      <c r="D681" t="s">
        <v>24</v>
      </c>
      <c r="E681" t="s">
        <v>69</v>
      </c>
      <c r="F681">
        <v>22</v>
      </c>
      <c r="G681">
        <v>1228.3399999999999</v>
      </c>
      <c r="H681">
        <v>27023.48</v>
      </c>
      <c r="I681">
        <v>4.7</v>
      </c>
    </row>
    <row r="682" spans="1:9" x14ac:dyDescent="0.35">
      <c r="A682" t="s">
        <v>1021</v>
      </c>
      <c r="B682" t="s">
        <v>1004</v>
      </c>
      <c r="C682" t="s">
        <v>11</v>
      </c>
      <c r="D682" t="s">
        <v>24</v>
      </c>
      <c r="E682" t="s">
        <v>44</v>
      </c>
      <c r="F682">
        <v>15</v>
      </c>
      <c r="G682">
        <v>101.48</v>
      </c>
      <c r="H682">
        <v>1522.2</v>
      </c>
      <c r="I682">
        <v>4.9000000000000004</v>
      </c>
    </row>
    <row r="683" spans="1:9" x14ac:dyDescent="0.35">
      <c r="A683" t="s">
        <v>1022</v>
      </c>
      <c r="B683" t="s">
        <v>89</v>
      </c>
      <c r="C683" t="s">
        <v>16</v>
      </c>
      <c r="D683" t="s">
        <v>12</v>
      </c>
      <c r="E683" t="s">
        <v>13</v>
      </c>
      <c r="F683">
        <v>6</v>
      </c>
      <c r="G683">
        <v>105.27</v>
      </c>
      <c r="H683">
        <v>631.62</v>
      </c>
      <c r="I683">
        <v>4.5</v>
      </c>
    </row>
    <row r="684" spans="1:9" x14ac:dyDescent="0.35">
      <c r="A684" t="s">
        <v>1023</v>
      </c>
      <c r="B684" t="s">
        <v>455</v>
      </c>
      <c r="C684" t="s">
        <v>11</v>
      </c>
      <c r="D684" t="s">
        <v>24</v>
      </c>
      <c r="E684" t="s">
        <v>44</v>
      </c>
      <c r="F684">
        <v>24</v>
      </c>
      <c r="G684">
        <v>381.77</v>
      </c>
      <c r="H684">
        <v>9162.48</v>
      </c>
      <c r="I684">
        <v>3.9</v>
      </c>
    </row>
    <row r="685" spans="1:9" x14ac:dyDescent="0.35">
      <c r="A685" t="s">
        <v>1024</v>
      </c>
      <c r="B685" t="s">
        <v>459</v>
      </c>
      <c r="C685" t="s">
        <v>11</v>
      </c>
      <c r="D685" t="s">
        <v>19</v>
      </c>
      <c r="E685" t="s">
        <v>31</v>
      </c>
      <c r="F685">
        <v>15</v>
      </c>
      <c r="G685">
        <v>1060.3900000000001</v>
      </c>
      <c r="H685">
        <v>15905.85</v>
      </c>
      <c r="I685">
        <v>4.9000000000000004</v>
      </c>
    </row>
    <row r="686" spans="1:9" x14ac:dyDescent="0.35">
      <c r="A686" t="s">
        <v>1025</v>
      </c>
      <c r="B686" t="s">
        <v>192</v>
      </c>
      <c r="C686" t="s">
        <v>38</v>
      </c>
      <c r="D686" t="s">
        <v>24</v>
      </c>
      <c r="E686" t="s">
        <v>69</v>
      </c>
      <c r="F686">
        <v>15</v>
      </c>
      <c r="G686">
        <v>355.47</v>
      </c>
      <c r="H686">
        <v>5332.05</v>
      </c>
      <c r="I686">
        <v>4.7</v>
      </c>
    </row>
    <row r="687" spans="1:9" x14ac:dyDescent="0.35">
      <c r="A687" t="s">
        <v>1026</v>
      </c>
      <c r="B687" t="s">
        <v>390</v>
      </c>
      <c r="C687" t="s">
        <v>23</v>
      </c>
      <c r="D687" t="s">
        <v>24</v>
      </c>
      <c r="E687" t="s">
        <v>25</v>
      </c>
      <c r="F687">
        <v>7</v>
      </c>
      <c r="G687">
        <v>472.72</v>
      </c>
      <c r="H687">
        <v>3309.04</v>
      </c>
      <c r="I687">
        <v>4</v>
      </c>
    </row>
    <row r="688" spans="1:9" x14ac:dyDescent="0.35">
      <c r="A688" t="s">
        <v>1027</v>
      </c>
      <c r="B688" t="s">
        <v>116</v>
      </c>
      <c r="C688" t="s">
        <v>38</v>
      </c>
      <c r="D688" t="s">
        <v>19</v>
      </c>
      <c r="E688" t="s">
        <v>31</v>
      </c>
      <c r="F688">
        <v>14</v>
      </c>
      <c r="G688">
        <v>264.04000000000002</v>
      </c>
      <c r="H688">
        <v>3696.56</v>
      </c>
      <c r="I688">
        <v>3.9</v>
      </c>
    </row>
    <row r="689" spans="1:9" x14ac:dyDescent="0.35">
      <c r="A689" t="s">
        <v>1028</v>
      </c>
      <c r="B689" t="s">
        <v>1029</v>
      </c>
      <c r="C689" t="s">
        <v>38</v>
      </c>
      <c r="D689" t="s">
        <v>12</v>
      </c>
      <c r="E689" t="s">
        <v>90</v>
      </c>
      <c r="F689">
        <v>20</v>
      </c>
      <c r="G689">
        <v>811.19</v>
      </c>
      <c r="H689">
        <v>16223.8</v>
      </c>
      <c r="I689">
        <v>4</v>
      </c>
    </row>
    <row r="690" spans="1:9" x14ac:dyDescent="0.35">
      <c r="A690" t="s">
        <v>1030</v>
      </c>
      <c r="B690" t="s">
        <v>599</v>
      </c>
      <c r="C690" t="s">
        <v>11</v>
      </c>
      <c r="D690" t="s">
        <v>12</v>
      </c>
      <c r="E690" t="s">
        <v>90</v>
      </c>
      <c r="F690">
        <v>2</v>
      </c>
      <c r="G690">
        <v>880.38</v>
      </c>
      <c r="H690">
        <v>1760.76</v>
      </c>
      <c r="I690">
        <v>3.7</v>
      </c>
    </row>
    <row r="691" spans="1:9" x14ac:dyDescent="0.35">
      <c r="A691" t="s">
        <v>1031</v>
      </c>
      <c r="B691" t="s">
        <v>958</v>
      </c>
      <c r="C691" t="s">
        <v>16</v>
      </c>
      <c r="D691" t="s">
        <v>19</v>
      </c>
      <c r="E691" t="s">
        <v>28</v>
      </c>
      <c r="F691">
        <v>1</v>
      </c>
      <c r="G691">
        <v>431.15</v>
      </c>
      <c r="H691">
        <v>431.15</v>
      </c>
      <c r="I691">
        <v>3.5</v>
      </c>
    </row>
    <row r="692" spans="1:9" x14ac:dyDescent="0.35">
      <c r="A692" t="s">
        <v>1032</v>
      </c>
      <c r="B692" t="s">
        <v>679</v>
      </c>
      <c r="C692" t="s">
        <v>38</v>
      </c>
      <c r="D692" t="s">
        <v>24</v>
      </c>
      <c r="E692" t="s">
        <v>69</v>
      </c>
      <c r="F692">
        <v>13</v>
      </c>
      <c r="G692">
        <v>1372.65</v>
      </c>
      <c r="H692">
        <v>17844.45</v>
      </c>
      <c r="I692">
        <v>4.0999999999999996</v>
      </c>
    </row>
    <row r="693" spans="1:9" x14ac:dyDescent="0.35">
      <c r="A693" t="s">
        <v>1033</v>
      </c>
      <c r="B693" t="s">
        <v>321</v>
      </c>
      <c r="C693" t="s">
        <v>11</v>
      </c>
      <c r="D693" t="s">
        <v>24</v>
      </c>
      <c r="E693" t="s">
        <v>25</v>
      </c>
      <c r="F693">
        <v>3</v>
      </c>
      <c r="G693">
        <v>1424.28</v>
      </c>
      <c r="H693">
        <v>4272.84</v>
      </c>
      <c r="I693">
        <v>4.3</v>
      </c>
    </row>
    <row r="694" spans="1:9" x14ac:dyDescent="0.35">
      <c r="A694" t="s">
        <v>1034</v>
      </c>
      <c r="B694" t="s">
        <v>905</v>
      </c>
      <c r="C694" t="s">
        <v>16</v>
      </c>
      <c r="D694" t="s">
        <v>24</v>
      </c>
      <c r="E694" t="s">
        <v>25</v>
      </c>
      <c r="F694">
        <v>15</v>
      </c>
      <c r="G694">
        <v>1154.72</v>
      </c>
      <c r="H694">
        <v>17320.8</v>
      </c>
      <c r="I694">
        <v>4</v>
      </c>
    </row>
    <row r="695" spans="1:9" x14ac:dyDescent="0.35">
      <c r="A695" t="s">
        <v>1035</v>
      </c>
      <c r="B695" t="s">
        <v>295</v>
      </c>
      <c r="C695" t="s">
        <v>23</v>
      </c>
      <c r="D695" t="s">
        <v>12</v>
      </c>
      <c r="E695" t="s">
        <v>13</v>
      </c>
      <c r="F695">
        <v>16</v>
      </c>
      <c r="G695">
        <v>750.63</v>
      </c>
      <c r="H695">
        <v>12010.08</v>
      </c>
      <c r="I695">
        <v>4.4000000000000004</v>
      </c>
    </row>
    <row r="696" spans="1:9" x14ac:dyDescent="0.35">
      <c r="A696" t="s">
        <v>1036</v>
      </c>
      <c r="B696" t="s">
        <v>648</v>
      </c>
      <c r="C696" t="s">
        <v>23</v>
      </c>
      <c r="D696" t="s">
        <v>24</v>
      </c>
      <c r="E696" t="s">
        <v>44</v>
      </c>
      <c r="F696">
        <v>13</v>
      </c>
      <c r="G696">
        <v>1125.93</v>
      </c>
      <c r="H696">
        <v>14637.09</v>
      </c>
      <c r="I696">
        <v>4.5999999999999996</v>
      </c>
    </row>
    <row r="697" spans="1:9" x14ac:dyDescent="0.35">
      <c r="A697" t="s">
        <v>1037</v>
      </c>
      <c r="B697" t="s">
        <v>1038</v>
      </c>
      <c r="C697" t="s">
        <v>38</v>
      </c>
      <c r="D697" t="s">
        <v>12</v>
      </c>
      <c r="E697" t="s">
        <v>17</v>
      </c>
      <c r="F697">
        <v>4</v>
      </c>
      <c r="G697">
        <v>679.22</v>
      </c>
      <c r="H697">
        <v>2716.88</v>
      </c>
      <c r="I697">
        <v>4.3</v>
      </c>
    </row>
    <row r="698" spans="1:9" x14ac:dyDescent="0.35">
      <c r="A698" t="s">
        <v>1039</v>
      </c>
      <c r="B698" t="s">
        <v>262</v>
      </c>
      <c r="C698" t="s">
        <v>23</v>
      </c>
      <c r="D698" t="s">
        <v>12</v>
      </c>
      <c r="E698" t="s">
        <v>17</v>
      </c>
      <c r="F698">
        <v>25</v>
      </c>
      <c r="G698">
        <v>376.21</v>
      </c>
      <c r="H698">
        <v>9405.25</v>
      </c>
      <c r="I698">
        <v>3.4</v>
      </c>
    </row>
    <row r="699" spans="1:9" x14ac:dyDescent="0.35">
      <c r="A699" t="s">
        <v>1040</v>
      </c>
      <c r="B699" t="s">
        <v>1000</v>
      </c>
      <c r="C699" t="s">
        <v>16</v>
      </c>
      <c r="D699" t="s">
        <v>19</v>
      </c>
      <c r="E699" t="s">
        <v>28</v>
      </c>
      <c r="F699">
        <v>18</v>
      </c>
      <c r="G699">
        <v>1447.16</v>
      </c>
      <c r="H699">
        <v>26048.880000000001</v>
      </c>
      <c r="I699">
        <v>3.6</v>
      </c>
    </row>
    <row r="700" spans="1:9" x14ac:dyDescent="0.35">
      <c r="A700" t="s">
        <v>1041</v>
      </c>
      <c r="B700" t="s">
        <v>867</v>
      </c>
      <c r="C700" t="s">
        <v>38</v>
      </c>
      <c r="D700" t="s">
        <v>24</v>
      </c>
      <c r="E700" t="s">
        <v>69</v>
      </c>
      <c r="F700">
        <v>15</v>
      </c>
      <c r="G700">
        <v>75.16</v>
      </c>
      <c r="H700">
        <v>1127.4000000000001</v>
      </c>
      <c r="I700">
        <v>3.6</v>
      </c>
    </row>
    <row r="701" spans="1:9" x14ac:dyDescent="0.35">
      <c r="A701" t="s">
        <v>1042</v>
      </c>
      <c r="B701" t="s">
        <v>78</v>
      </c>
      <c r="C701" t="s">
        <v>11</v>
      </c>
      <c r="D701" t="s">
        <v>24</v>
      </c>
      <c r="E701" t="s">
        <v>69</v>
      </c>
      <c r="F701">
        <v>12</v>
      </c>
      <c r="G701">
        <v>1499.94</v>
      </c>
      <c r="H701">
        <v>17999.28</v>
      </c>
      <c r="I701">
        <v>3.9</v>
      </c>
    </row>
    <row r="702" spans="1:9" x14ac:dyDescent="0.35">
      <c r="A702" t="s">
        <v>1043</v>
      </c>
      <c r="B702" t="s">
        <v>54</v>
      </c>
      <c r="C702" t="s">
        <v>11</v>
      </c>
      <c r="D702" t="s">
        <v>24</v>
      </c>
      <c r="E702" t="s">
        <v>25</v>
      </c>
      <c r="F702">
        <v>17</v>
      </c>
      <c r="G702">
        <v>659.7</v>
      </c>
      <c r="H702">
        <v>11214.9</v>
      </c>
      <c r="I702">
        <v>3.7</v>
      </c>
    </row>
    <row r="703" spans="1:9" x14ac:dyDescent="0.35">
      <c r="A703" t="s">
        <v>1044</v>
      </c>
      <c r="B703" t="s">
        <v>89</v>
      </c>
      <c r="C703" t="s">
        <v>11</v>
      </c>
      <c r="D703" t="s">
        <v>12</v>
      </c>
      <c r="E703" t="s">
        <v>90</v>
      </c>
      <c r="F703">
        <v>25</v>
      </c>
      <c r="G703">
        <v>524.58000000000004</v>
      </c>
      <c r="H703">
        <v>13114.5</v>
      </c>
      <c r="I703">
        <v>3.8</v>
      </c>
    </row>
    <row r="704" spans="1:9" x14ac:dyDescent="0.35">
      <c r="A704" t="s">
        <v>1045</v>
      </c>
      <c r="B704" t="s">
        <v>196</v>
      </c>
      <c r="C704" t="s">
        <v>38</v>
      </c>
      <c r="D704" t="s">
        <v>24</v>
      </c>
      <c r="E704" t="s">
        <v>25</v>
      </c>
      <c r="F704">
        <v>5</v>
      </c>
      <c r="G704">
        <v>1193.28</v>
      </c>
      <c r="H704">
        <v>5966.4</v>
      </c>
      <c r="I704">
        <v>4.5</v>
      </c>
    </row>
    <row r="705" spans="1:9" x14ac:dyDescent="0.35">
      <c r="A705" t="s">
        <v>1046</v>
      </c>
      <c r="B705" t="s">
        <v>619</v>
      </c>
      <c r="C705" t="s">
        <v>38</v>
      </c>
      <c r="D705" t="s">
        <v>12</v>
      </c>
      <c r="E705" t="s">
        <v>13</v>
      </c>
      <c r="F705">
        <v>8</v>
      </c>
      <c r="G705">
        <v>1352.35</v>
      </c>
      <c r="H705">
        <v>10818.8</v>
      </c>
      <c r="I705">
        <v>4.9000000000000004</v>
      </c>
    </row>
    <row r="706" spans="1:9" x14ac:dyDescent="0.35">
      <c r="A706" t="s">
        <v>1047</v>
      </c>
      <c r="B706" t="s">
        <v>645</v>
      </c>
      <c r="C706" t="s">
        <v>11</v>
      </c>
      <c r="D706" t="s">
        <v>24</v>
      </c>
      <c r="E706" t="s">
        <v>44</v>
      </c>
      <c r="F706">
        <v>13</v>
      </c>
      <c r="G706">
        <v>618.69000000000005</v>
      </c>
      <c r="H706">
        <v>8042.97</v>
      </c>
      <c r="I706">
        <v>3.3</v>
      </c>
    </row>
    <row r="707" spans="1:9" x14ac:dyDescent="0.35">
      <c r="A707" t="s">
        <v>1048</v>
      </c>
      <c r="B707" t="s">
        <v>237</v>
      </c>
      <c r="C707" t="s">
        <v>38</v>
      </c>
      <c r="D707" t="s">
        <v>19</v>
      </c>
      <c r="E707" t="s">
        <v>28</v>
      </c>
      <c r="F707">
        <v>18</v>
      </c>
      <c r="G707">
        <v>262.23</v>
      </c>
      <c r="H707">
        <v>4720.1400000000003</v>
      </c>
      <c r="I707">
        <v>3.1</v>
      </c>
    </row>
    <row r="708" spans="1:9" x14ac:dyDescent="0.35">
      <c r="A708" t="s">
        <v>1049</v>
      </c>
      <c r="B708" t="s">
        <v>441</v>
      </c>
      <c r="C708" t="s">
        <v>38</v>
      </c>
      <c r="D708" t="s">
        <v>12</v>
      </c>
      <c r="E708" t="s">
        <v>17</v>
      </c>
      <c r="F708">
        <v>15</v>
      </c>
      <c r="G708">
        <v>740.57</v>
      </c>
      <c r="H708">
        <v>11108.55</v>
      </c>
      <c r="I708">
        <v>3</v>
      </c>
    </row>
    <row r="709" spans="1:9" x14ac:dyDescent="0.35">
      <c r="A709" t="s">
        <v>1050</v>
      </c>
      <c r="B709" t="s">
        <v>722</v>
      </c>
      <c r="C709" t="s">
        <v>11</v>
      </c>
      <c r="D709" t="s">
        <v>19</v>
      </c>
      <c r="E709" t="s">
        <v>28</v>
      </c>
      <c r="F709">
        <v>16</v>
      </c>
      <c r="G709">
        <v>177.05</v>
      </c>
      <c r="H709">
        <v>2832.8</v>
      </c>
      <c r="I709">
        <v>3.3</v>
      </c>
    </row>
    <row r="710" spans="1:9" x14ac:dyDescent="0.35">
      <c r="A710" t="s">
        <v>1051</v>
      </c>
      <c r="B710" t="s">
        <v>231</v>
      </c>
      <c r="C710" t="s">
        <v>38</v>
      </c>
      <c r="D710" t="s">
        <v>24</v>
      </c>
      <c r="E710" t="s">
        <v>44</v>
      </c>
      <c r="F710">
        <v>4</v>
      </c>
      <c r="G710">
        <v>382.03</v>
      </c>
      <c r="H710">
        <v>1528.12</v>
      </c>
      <c r="I710">
        <v>4.9000000000000004</v>
      </c>
    </row>
    <row r="711" spans="1:9" x14ac:dyDescent="0.35">
      <c r="A711" t="s">
        <v>1052</v>
      </c>
      <c r="B711" t="s">
        <v>221</v>
      </c>
      <c r="C711" t="s">
        <v>11</v>
      </c>
      <c r="D711" t="s">
        <v>12</v>
      </c>
      <c r="E711" t="s">
        <v>17</v>
      </c>
      <c r="F711">
        <v>8</v>
      </c>
      <c r="G711">
        <v>791.79</v>
      </c>
      <c r="H711">
        <v>6334.32</v>
      </c>
      <c r="I711">
        <v>3.5</v>
      </c>
    </row>
    <row r="712" spans="1:9" x14ac:dyDescent="0.35">
      <c r="A712" t="s">
        <v>1053</v>
      </c>
      <c r="B712" t="s">
        <v>60</v>
      </c>
      <c r="C712" t="s">
        <v>16</v>
      </c>
      <c r="D712" t="s">
        <v>24</v>
      </c>
      <c r="E712" t="s">
        <v>44</v>
      </c>
      <c r="F712">
        <v>13</v>
      </c>
      <c r="G712">
        <v>905.33</v>
      </c>
      <c r="H712">
        <v>11769.29</v>
      </c>
      <c r="I712">
        <v>3.5</v>
      </c>
    </row>
    <row r="713" spans="1:9" x14ac:dyDescent="0.35">
      <c r="A713" t="s">
        <v>1054</v>
      </c>
      <c r="B713" t="s">
        <v>910</v>
      </c>
      <c r="C713" t="s">
        <v>11</v>
      </c>
      <c r="D713" t="s">
        <v>24</v>
      </c>
      <c r="E713" t="s">
        <v>44</v>
      </c>
      <c r="F713">
        <v>14</v>
      </c>
      <c r="G713">
        <v>952.48</v>
      </c>
      <c r="H713">
        <v>13334.72</v>
      </c>
      <c r="I713">
        <v>4</v>
      </c>
    </row>
    <row r="714" spans="1:9" x14ac:dyDescent="0.35">
      <c r="A714" t="s">
        <v>1055</v>
      </c>
      <c r="B714" t="s">
        <v>403</v>
      </c>
      <c r="C714" t="s">
        <v>16</v>
      </c>
      <c r="D714" t="s">
        <v>19</v>
      </c>
      <c r="E714" t="s">
        <v>28</v>
      </c>
      <c r="F714">
        <v>16</v>
      </c>
      <c r="G714">
        <v>145.52000000000001</v>
      </c>
      <c r="H714">
        <v>2328.3200000000002</v>
      </c>
      <c r="I714">
        <v>4.9000000000000004</v>
      </c>
    </row>
    <row r="715" spans="1:9" x14ac:dyDescent="0.35">
      <c r="A715" t="s">
        <v>1056</v>
      </c>
      <c r="B715" t="s">
        <v>149</v>
      </c>
      <c r="C715" t="s">
        <v>16</v>
      </c>
      <c r="D715" t="s">
        <v>24</v>
      </c>
      <c r="E715" t="s">
        <v>69</v>
      </c>
      <c r="F715">
        <v>7</v>
      </c>
      <c r="G715">
        <v>396.83</v>
      </c>
      <c r="H715">
        <v>2777.81</v>
      </c>
      <c r="I715">
        <v>3.8</v>
      </c>
    </row>
    <row r="716" spans="1:9" x14ac:dyDescent="0.35">
      <c r="A716" t="s">
        <v>1057</v>
      </c>
      <c r="B716" t="s">
        <v>643</v>
      </c>
      <c r="C716" t="s">
        <v>11</v>
      </c>
      <c r="D716" t="s">
        <v>12</v>
      </c>
      <c r="E716" t="s">
        <v>90</v>
      </c>
      <c r="F716">
        <v>4</v>
      </c>
      <c r="G716">
        <v>425.62</v>
      </c>
      <c r="H716">
        <v>1702.48</v>
      </c>
      <c r="I716">
        <v>3.6</v>
      </c>
    </row>
    <row r="717" spans="1:9" x14ac:dyDescent="0.35">
      <c r="A717" t="s">
        <v>1058</v>
      </c>
      <c r="B717" t="s">
        <v>385</v>
      </c>
      <c r="C717" t="s">
        <v>23</v>
      </c>
      <c r="D717" t="s">
        <v>24</v>
      </c>
      <c r="E717" t="s">
        <v>25</v>
      </c>
      <c r="F717">
        <v>1</v>
      </c>
      <c r="G717">
        <v>931.4</v>
      </c>
      <c r="H717">
        <v>931.4</v>
      </c>
      <c r="I717">
        <v>4</v>
      </c>
    </row>
    <row r="718" spans="1:9" x14ac:dyDescent="0.35">
      <c r="A718" t="s">
        <v>1059</v>
      </c>
      <c r="B718" t="s">
        <v>910</v>
      </c>
      <c r="C718" t="s">
        <v>38</v>
      </c>
      <c r="D718" t="s">
        <v>12</v>
      </c>
      <c r="E718" t="s">
        <v>13</v>
      </c>
      <c r="F718">
        <v>6</v>
      </c>
      <c r="G718">
        <v>598.66999999999996</v>
      </c>
      <c r="H718">
        <v>3592.02</v>
      </c>
      <c r="I718">
        <v>4.8</v>
      </c>
    </row>
    <row r="719" spans="1:9" x14ac:dyDescent="0.35">
      <c r="A719" t="s">
        <v>1060</v>
      </c>
      <c r="B719" t="s">
        <v>87</v>
      </c>
      <c r="C719" t="s">
        <v>11</v>
      </c>
      <c r="D719" t="s">
        <v>19</v>
      </c>
      <c r="E719" t="s">
        <v>28</v>
      </c>
      <c r="F719">
        <v>8</v>
      </c>
      <c r="G719">
        <v>378.98</v>
      </c>
      <c r="H719">
        <v>3031.84</v>
      </c>
      <c r="I719">
        <v>3.8</v>
      </c>
    </row>
    <row r="720" spans="1:9" x14ac:dyDescent="0.35">
      <c r="A720" t="s">
        <v>1061</v>
      </c>
      <c r="B720" t="s">
        <v>452</v>
      </c>
      <c r="C720" t="s">
        <v>16</v>
      </c>
      <c r="D720" t="s">
        <v>12</v>
      </c>
      <c r="E720" t="s">
        <v>13</v>
      </c>
      <c r="F720">
        <v>10</v>
      </c>
      <c r="G720">
        <v>103.73</v>
      </c>
      <c r="H720">
        <v>1037.3</v>
      </c>
      <c r="I720">
        <v>3.2</v>
      </c>
    </row>
    <row r="721" spans="1:9" x14ac:dyDescent="0.35">
      <c r="A721" t="s">
        <v>1062</v>
      </c>
      <c r="B721" t="s">
        <v>685</v>
      </c>
      <c r="C721" t="s">
        <v>38</v>
      </c>
      <c r="D721" t="s">
        <v>24</v>
      </c>
      <c r="E721" t="s">
        <v>44</v>
      </c>
      <c r="F721">
        <v>1</v>
      </c>
      <c r="G721">
        <v>1453.07</v>
      </c>
      <c r="H721">
        <v>1453.07</v>
      </c>
      <c r="I721">
        <v>4.5999999999999996</v>
      </c>
    </row>
    <row r="722" spans="1:9" x14ac:dyDescent="0.35">
      <c r="A722" t="s">
        <v>1063</v>
      </c>
      <c r="B722" t="s">
        <v>293</v>
      </c>
      <c r="C722" t="s">
        <v>11</v>
      </c>
      <c r="D722" t="s">
        <v>12</v>
      </c>
      <c r="E722" t="s">
        <v>17</v>
      </c>
      <c r="F722">
        <v>15</v>
      </c>
      <c r="G722">
        <v>827.18</v>
      </c>
      <c r="H722">
        <v>12407.7</v>
      </c>
      <c r="I722">
        <v>3.1</v>
      </c>
    </row>
    <row r="723" spans="1:9" x14ac:dyDescent="0.35">
      <c r="A723" t="s">
        <v>1064</v>
      </c>
      <c r="B723" t="s">
        <v>76</v>
      </c>
      <c r="C723" t="s">
        <v>16</v>
      </c>
      <c r="D723" t="s">
        <v>12</v>
      </c>
      <c r="E723" t="s">
        <v>90</v>
      </c>
      <c r="F723">
        <v>16</v>
      </c>
      <c r="G723">
        <v>1423.29</v>
      </c>
      <c r="H723">
        <v>22772.639999999999</v>
      </c>
      <c r="I723">
        <v>4.5999999999999996</v>
      </c>
    </row>
    <row r="724" spans="1:9" x14ac:dyDescent="0.35">
      <c r="A724" t="s">
        <v>1065</v>
      </c>
      <c r="B724" t="s">
        <v>856</v>
      </c>
      <c r="C724" t="s">
        <v>11</v>
      </c>
      <c r="D724" t="s">
        <v>19</v>
      </c>
      <c r="E724" t="s">
        <v>20</v>
      </c>
      <c r="F724">
        <v>11</v>
      </c>
      <c r="G724">
        <v>341.82</v>
      </c>
      <c r="H724">
        <v>3760.02</v>
      </c>
      <c r="I724">
        <v>4.5</v>
      </c>
    </row>
    <row r="725" spans="1:9" x14ac:dyDescent="0.35">
      <c r="A725" t="s">
        <v>1066</v>
      </c>
      <c r="B725" t="s">
        <v>60</v>
      </c>
      <c r="C725" t="s">
        <v>23</v>
      </c>
      <c r="D725" t="s">
        <v>24</v>
      </c>
      <c r="E725" t="s">
        <v>69</v>
      </c>
      <c r="F725">
        <v>10</v>
      </c>
      <c r="G725">
        <v>717.85</v>
      </c>
      <c r="H725">
        <v>7178.5</v>
      </c>
      <c r="I725">
        <v>4.5</v>
      </c>
    </row>
    <row r="726" spans="1:9" x14ac:dyDescent="0.35">
      <c r="A726" t="s">
        <v>1067</v>
      </c>
      <c r="B726" t="s">
        <v>305</v>
      </c>
      <c r="C726" t="s">
        <v>16</v>
      </c>
      <c r="D726" t="s">
        <v>24</v>
      </c>
      <c r="E726" t="s">
        <v>44</v>
      </c>
      <c r="F726">
        <v>18</v>
      </c>
      <c r="G726">
        <v>1323.14</v>
      </c>
      <c r="H726">
        <v>23816.52</v>
      </c>
      <c r="I726">
        <v>4.5999999999999996</v>
      </c>
    </row>
    <row r="727" spans="1:9" x14ac:dyDescent="0.35">
      <c r="A727" t="s">
        <v>1068</v>
      </c>
      <c r="B727" t="s">
        <v>905</v>
      </c>
      <c r="C727" t="s">
        <v>11</v>
      </c>
      <c r="D727" t="s">
        <v>12</v>
      </c>
      <c r="E727" t="s">
        <v>17</v>
      </c>
      <c r="F727">
        <v>9</v>
      </c>
      <c r="G727">
        <v>1495.34</v>
      </c>
      <c r="H727">
        <v>13458.06</v>
      </c>
      <c r="I727">
        <v>4.3</v>
      </c>
    </row>
    <row r="728" spans="1:9" x14ac:dyDescent="0.35">
      <c r="A728" t="s">
        <v>1069</v>
      </c>
      <c r="B728" t="s">
        <v>312</v>
      </c>
      <c r="C728" t="s">
        <v>23</v>
      </c>
      <c r="D728" t="s">
        <v>24</v>
      </c>
      <c r="E728" t="s">
        <v>25</v>
      </c>
      <c r="F728">
        <v>20</v>
      </c>
      <c r="G728">
        <v>1326.2</v>
      </c>
      <c r="H728">
        <v>26524</v>
      </c>
      <c r="I728">
        <v>4</v>
      </c>
    </row>
    <row r="729" spans="1:9" x14ac:dyDescent="0.35">
      <c r="A729" t="s">
        <v>1070</v>
      </c>
      <c r="B729" t="s">
        <v>93</v>
      </c>
      <c r="C729" t="s">
        <v>23</v>
      </c>
      <c r="D729" t="s">
        <v>12</v>
      </c>
      <c r="E729" t="s">
        <v>90</v>
      </c>
      <c r="F729">
        <v>16</v>
      </c>
      <c r="G729">
        <v>1080.73</v>
      </c>
      <c r="H729">
        <v>17291.68</v>
      </c>
      <c r="I729">
        <v>3.9</v>
      </c>
    </row>
    <row r="730" spans="1:9" x14ac:dyDescent="0.35">
      <c r="A730" t="s">
        <v>1071</v>
      </c>
      <c r="B730" t="s">
        <v>567</v>
      </c>
      <c r="C730" t="s">
        <v>16</v>
      </c>
      <c r="D730" t="s">
        <v>24</v>
      </c>
      <c r="E730" t="s">
        <v>69</v>
      </c>
      <c r="F730">
        <v>1</v>
      </c>
      <c r="G730">
        <v>856.66</v>
      </c>
      <c r="H730">
        <v>856.66</v>
      </c>
      <c r="I730">
        <v>3.2</v>
      </c>
    </row>
    <row r="731" spans="1:9" x14ac:dyDescent="0.35">
      <c r="A731" t="s">
        <v>1072</v>
      </c>
      <c r="B731" t="s">
        <v>578</v>
      </c>
      <c r="C731" t="s">
        <v>11</v>
      </c>
      <c r="D731" t="s">
        <v>19</v>
      </c>
      <c r="E731" t="s">
        <v>20</v>
      </c>
      <c r="F731">
        <v>19</v>
      </c>
      <c r="G731">
        <v>504.06</v>
      </c>
      <c r="H731">
        <v>9577.14</v>
      </c>
      <c r="I731">
        <v>4.8</v>
      </c>
    </row>
    <row r="732" spans="1:9" x14ac:dyDescent="0.35">
      <c r="A732" t="s">
        <v>1073</v>
      </c>
      <c r="B732" t="s">
        <v>914</v>
      </c>
      <c r="C732" t="s">
        <v>38</v>
      </c>
      <c r="D732" t="s">
        <v>19</v>
      </c>
      <c r="E732" t="s">
        <v>28</v>
      </c>
      <c r="F732">
        <v>17</v>
      </c>
      <c r="G732">
        <v>808.87</v>
      </c>
      <c r="H732">
        <v>13750.79</v>
      </c>
      <c r="I732">
        <v>4.7</v>
      </c>
    </row>
    <row r="733" spans="1:9" x14ac:dyDescent="0.35">
      <c r="A733" t="s">
        <v>1074</v>
      </c>
      <c r="B733" t="s">
        <v>922</v>
      </c>
      <c r="C733" t="s">
        <v>38</v>
      </c>
      <c r="D733" t="s">
        <v>19</v>
      </c>
      <c r="E733" t="s">
        <v>31</v>
      </c>
      <c r="F733">
        <v>10</v>
      </c>
      <c r="G733">
        <v>594.89</v>
      </c>
      <c r="H733">
        <v>5948.9</v>
      </c>
      <c r="I733">
        <v>3.7</v>
      </c>
    </row>
    <row r="734" spans="1:9" x14ac:dyDescent="0.35">
      <c r="A734" t="s">
        <v>1075</v>
      </c>
      <c r="B734" t="s">
        <v>403</v>
      </c>
      <c r="C734" t="s">
        <v>11</v>
      </c>
      <c r="D734" t="s">
        <v>24</v>
      </c>
      <c r="E734" t="s">
        <v>69</v>
      </c>
      <c r="F734">
        <v>16</v>
      </c>
      <c r="G734">
        <v>400.29</v>
      </c>
      <c r="H734">
        <v>6404.64</v>
      </c>
      <c r="I734">
        <v>3.8</v>
      </c>
    </row>
    <row r="735" spans="1:9" x14ac:dyDescent="0.35">
      <c r="A735" t="s">
        <v>1076</v>
      </c>
      <c r="B735" t="s">
        <v>324</v>
      </c>
      <c r="C735" t="s">
        <v>16</v>
      </c>
      <c r="D735" t="s">
        <v>19</v>
      </c>
      <c r="E735" t="s">
        <v>31</v>
      </c>
      <c r="F735">
        <v>23</v>
      </c>
      <c r="G735">
        <v>1469.68</v>
      </c>
      <c r="H735">
        <v>33802.639999999999</v>
      </c>
      <c r="I735">
        <v>3.3</v>
      </c>
    </row>
    <row r="736" spans="1:9" x14ac:dyDescent="0.35">
      <c r="A736" t="s">
        <v>1077</v>
      </c>
      <c r="B736" t="s">
        <v>734</v>
      </c>
      <c r="C736" t="s">
        <v>11</v>
      </c>
      <c r="D736" t="s">
        <v>24</v>
      </c>
      <c r="E736" t="s">
        <v>69</v>
      </c>
      <c r="F736">
        <v>12</v>
      </c>
      <c r="G736">
        <v>797.11</v>
      </c>
      <c r="H736">
        <v>9565.32</v>
      </c>
      <c r="I736">
        <v>4.5999999999999996</v>
      </c>
    </row>
    <row r="737" spans="1:9" x14ac:dyDescent="0.35">
      <c r="A737" t="s">
        <v>1078</v>
      </c>
      <c r="B737" t="s">
        <v>52</v>
      </c>
      <c r="C737" t="s">
        <v>38</v>
      </c>
      <c r="D737" t="s">
        <v>12</v>
      </c>
      <c r="E737" t="s">
        <v>90</v>
      </c>
      <c r="F737">
        <v>10</v>
      </c>
      <c r="G737">
        <v>946.22</v>
      </c>
      <c r="H737">
        <v>9462.2000000000007</v>
      </c>
      <c r="I737">
        <v>4.7</v>
      </c>
    </row>
    <row r="738" spans="1:9" x14ac:dyDescent="0.35">
      <c r="A738" t="s">
        <v>1079</v>
      </c>
      <c r="B738" t="s">
        <v>390</v>
      </c>
      <c r="C738" t="s">
        <v>23</v>
      </c>
      <c r="D738" t="s">
        <v>12</v>
      </c>
      <c r="E738" t="s">
        <v>90</v>
      </c>
      <c r="F738">
        <v>4</v>
      </c>
      <c r="G738">
        <v>654.45000000000005</v>
      </c>
      <c r="H738">
        <v>2617.8000000000002</v>
      </c>
      <c r="I738">
        <v>5</v>
      </c>
    </row>
    <row r="739" spans="1:9" x14ac:dyDescent="0.35">
      <c r="A739" t="s">
        <v>1080</v>
      </c>
      <c r="B739" t="s">
        <v>1081</v>
      </c>
      <c r="C739" t="s">
        <v>23</v>
      </c>
      <c r="D739" t="s">
        <v>12</v>
      </c>
      <c r="E739" t="s">
        <v>13</v>
      </c>
      <c r="F739">
        <v>10</v>
      </c>
      <c r="G739">
        <v>573.39</v>
      </c>
      <c r="H739">
        <v>5733.9</v>
      </c>
      <c r="I739">
        <v>4.4000000000000004</v>
      </c>
    </row>
    <row r="740" spans="1:9" x14ac:dyDescent="0.35">
      <c r="A740" t="s">
        <v>1082</v>
      </c>
      <c r="B740" t="s">
        <v>926</v>
      </c>
      <c r="C740" t="s">
        <v>16</v>
      </c>
      <c r="D740" t="s">
        <v>12</v>
      </c>
      <c r="E740" t="s">
        <v>17</v>
      </c>
      <c r="F740">
        <v>10</v>
      </c>
      <c r="G740">
        <v>258</v>
      </c>
      <c r="H740">
        <v>2580</v>
      </c>
      <c r="I740">
        <v>3.5</v>
      </c>
    </row>
    <row r="741" spans="1:9" x14ac:dyDescent="0.35">
      <c r="A741" t="s">
        <v>1083</v>
      </c>
      <c r="B741" t="s">
        <v>159</v>
      </c>
      <c r="C741" t="s">
        <v>23</v>
      </c>
      <c r="D741" t="s">
        <v>24</v>
      </c>
      <c r="E741" t="s">
        <v>25</v>
      </c>
      <c r="F741">
        <v>22</v>
      </c>
      <c r="G741">
        <v>550</v>
      </c>
      <c r="H741">
        <v>12100</v>
      </c>
      <c r="I741">
        <v>3.8</v>
      </c>
    </row>
    <row r="742" spans="1:9" x14ac:dyDescent="0.35">
      <c r="A742" t="s">
        <v>1084</v>
      </c>
      <c r="B742" t="s">
        <v>340</v>
      </c>
      <c r="C742" t="s">
        <v>11</v>
      </c>
      <c r="D742" t="s">
        <v>12</v>
      </c>
      <c r="E742" t="s">
        <v>90</v>
      </c>
      <c r="F742">
        <v>18</v>
      </c>
      <c r="G742">
        <v>1226.2</v>
      </c>
      <c r="H742">
        <v>22071.599999999999</v>
      </c>
      <c r="I742">
        <v>3.7</v>
      </c>
    </row>
    <row r="743" spans="1:9" x14ac:dyDescent="0.35">
      <c r="A743" t="s">
        <v>1085</v>
      </c>
      <c r="B743" t="s">
        <v>549</v>
      </c>
      <c r="C743" t="s">
        <v>23</v>
      </c>
      <c r="D743" t="s">
        <v>12</v>
      </c>
      <c r="E743" t="s">
        <v>90</v>
      </c>
      <c r="F743">
        <v>17</v>
      </c>
      <c r="G743">
        <v>1445</v>
      </c>
      <c r="H743">
        <v>24565</v>
      </c>
      <c r="I743">
        <v>4</v>
      </c>
    </row>
    <row r="744" spans="1:9" x14ac:dyDescent="0.35">
      <c r="A744" t="s">
        <v>1086</v>
      </c>
      <c r="B744" t="s">
        <v>266</v>
      </c>
      <c r="C744" t="s">
        <v>38</v>
      </c>
      <c r="D744" t="s">
        <v>24</v>
      </c>
      <c r="E744" t="s">
        <v>44</v>
      </c>
      <c r="F744">
        <v>14</v>
      </c>
      <c r="G744">
        <v>1000.59</v>
      </c>
      <c r="H744">
        <v>14008.26</v>
      </c>
      <c r="I744">
        <v>4.7</v>
      </c>
    </row>
    <row r="745" spans="1:9" x14ac:dyDescent="0.35">
      <c r="A745" t="s">
        <v>1087</v>
      </c>
      <c r="B745" t="s">
        <v>814</v>
      </c>
      <c r="C745" t="s">
        <v>38</v>
      </c>
      <c r="D745" t="s">
        <v>19</v>
      </c>
      <c r="E745" t="s">
        <v>31</v>
      </c>
      <c r="F745">
        <v>17</v>
      </c>
      <c r="G745">
        <v>331.76</v>
      </c>
      <c r="H745">
        <v>5639.92</v>
      </c>
      <c r="I745">
        <v>4.7</v>
      </c>
    </row>
    <row r="746" spans="1:9" x14ac:dyDescent="0.35">
      <c r="A746" t="s">
        <v>1088</v>
      </c>
      <c r="B746" t="s">
        <v>231</v>
      </c>
      <c r="C746" t="s">
        <v>38</v>
      </c>
      <c r="D746" t="s">
        <v>19</v>
      </c>
      <c r="E746" t="s">
        <v>31</v>
      </c>
      <c r="F746">
        <v>16</v>
      </c>
      <c r="G746">
        <v>35.03</v>
      </c>
      <c r="H746">
        <v>560.48</v>
      </c>
      <c r="I746">
        <v>4.0999999999999996</v>
      </c>
    </row>
    <row r="747" spans="1:9" x14ac:dyDescent="0.35">
      <c r="A747" t="s">
        <v>1089</v>
      </c>
      <c r="B747" t="s">
        <v>852</v>
      </c>
      <c r="C747" t="s">
        <v>23</v>
      </c>
      <c r="D747" t="s">
        <v>12</v>
      </c>
      <c r="E747" t="s">
        <v>17</v>
      </c>
      <c r="F747">
        <v>2</v>
      </c>
      <c r="G747">
        <v>771.62</v>
      </c>
      <c r="H747">
        <v>1543.24</v>
      </c>
      <c r="I747">
        <v>4.4000000000000004</v>
      </c>
    </row>
    <row r="748" spans="1:9" x14ac:dyDescent="0.35">
      <c r="A748" t="s">
        <v>1090</v>
      </c>
      <c r="B748" t="s">
        <v>623</v>
      </c>
      <c r="C748" t="s">
        <v>23</v>
      </c>
      <c r="D748" t="s">
        <v>12</v>
      </c>
      <c r="E748" t="s">
        <v>13</v>
      </c>
      <c r="F748">
        <v>23</v>
      </c>
      <c r="G748">
        <v>1021.09</v>
      </c>
      <c r="H748">
        <v>23485.07</v>
      </c>
      <c r="I748">
        <v>3.9</v>
      </c>
    </row>
    <row r="749" spans="1:9" x14ac:dyDescent="0.35">
      <c r="A749" t="s">
        <v>1091</v>
      </c>
      <c r="B749" t="s">
        <v>231</v>
      </c>
      <c r="C749" t="s">
        <v>16</v>
      </c>
      <c r="D749" t="s">
        <v>12</v>
      </c>
      <c r="E749" t="s">
        <v>17</v>
      </c>
      <c r="F749">
        <v>24</v>
      </c>
      <c r="G749">
        <v>679.35</v>
      </c>
      <c r="H749">
        <v>16304.4</v>
      </c>
      <c r="I749">
        <v>4.5999999999999996</v>
      </c>
    </row>
    <row r="750" spans="1:9" x14ac:dyDescent="0.35">
      <c r="A750" t="s">
        <v>1092</v>
      </c>
      <c r="B750" t="s">
        <v>645</v>
      </c>
      <c r="C750" t="s">
        <v>16</v>
      </c>
      <c r="D750" t="s">
        <v>24</v>
      </c>
      <c r="E750" t="s">
        <v>25</v>
      </c>
      <c r="F750">
        <v>1</v>
      </c>
      <c r="G750">
        <v>1400.81</v>
      </c>
      <c r="H750">
        <v>1400.81</v>
      </c>
      <c r="I750">
        <v>3.3</v>
      </c>
    </row>
    <row r="751" spans="1:9" x14ac:dyDescent="0.35">
      <c r="A751" t="s">
        <v>1093</v>
      </c>
      <c r="B751" t="s">
        <v>257</v>
      </c>
      <c r="C751" t="s">
        <v>38</v>
      </c>
      <c r="D751" t="s">
        <v>12</v>
      </c>
      <c r="E751" t="s">
        <v>13</v>
      </c>
      <c r="F751">
        <v>2</v>
      </c>
      <c r="G751">
        <v>737.52</v>
      </c>
      <c r="H751">
        <v>1475.04</v>
      </c>
      <c r="I751">
        <v>3.5</v>
      </c>
    </row>
    <row r="752" spans="1:9" x14ac:dyDescent="0.35">
      <c r="A752" t="s">
        <v>1094</v>
      </c>
      <c r="B752" t="s">
        <v>201</v>
      </c>
      <c r="C752" t="s">
        <v>38</v>
      </c>
      <c r="D752" t="s">
        <v>12</v>
      </c>
      <c r="E752" t="s">
        <v>90</v>
      </c>
      <c r="F752">
        <v>8</v>
      </c>
      <c r="G752">
        <v>1172.4100000000001</v>
      </c>
      <c r="H752">
        <v>9379.2800000000007</v>
      </c>
      <c r="I752">
        <v>3.2</v>
      </c>
    </row>
    <row r="753" spans="1:9" x14ac:dyDescent="0.35">
      <c r="A753" t="s">
        <v>1095</v>
      </c>
      <c r="B753" t="s">
        <v>128</v>
      </c>
      <c r="C753" t="s">
        <v>38</v>
      </c>
      <c r="D753" t="s">
        <v>19</v>
      </c>
      <c r="E753" t="s">
        <v>20</v>
      </c>
      <c r="F753">
        <v>12</v>
      </c>
      <c r="G753">
        <v>1030.5899999999999</v>
      </c>
      <c r="H753">
        <v>12367.08</v>
      </c>
      <c r="I753">
        <v>4.0999999999999996</v>
      </c>
    </row>
    <row r="754" spans="1:9" x14ac:dyDescent="0.35">
      <c r="A754" t="s">
        <v>1096</v>
      </c>
      <c r="B754" t="s">
        <v>349</v>
      </c>
      <c r="C754" t="s">
        <v>23</v>
      </c>
      <c r="D754" t="s">
        <v>24</v>
      </c>
      <c r="E754" t="s">
        <v>69</v>
      </c>
      <c r="F754">
        <v>19</v>
      </c>
      <c r="G754">
        <v>506.93</v>
      </c>
      <c r="H754">
        <v>9631.67</v>
      </c>
      <c r="I754">
        <v>3.2</v>
      </c>
    </row>
    <row r="755" spans="1:9" x14ac:dyDescent="0.35">
      <c r="A755" t="s">
        <v>1097</v>
      </c>
      <c r="B755" t="s">
        <v>679</v>
      </c>
      <c r="C755" t="s">
        <v>16</v>
      </c>
      <c r="D755" t="s">
        <v>19</v>
      </c>
      <c r="E755" t="s">
        <v>20</v>
      </c>
      <c r="F755">
        <v>21</v>
      </c>
      <c r="G755">
        <v>706.67</v>
      </c>
      <c r="H755">
        <v>14840.07</v>
      </c>
      <c r="I755">
        <v>4.5</v>
      </c>
    </row>
    <row r="756" spans="1:9" x14ac:dyDescent="0.35">
      <c r="A756" t="s">
        <v>1098</v>
      </c>
      <c r="B756" t="s">
        <v>717</v>
      </c>
      <c r="C756" t="s">
        <v>16</v>
      </c>
      <c r="D756" t="s">
        <v>24</v>
      </c>
      <c r="E756" t="s">
        <v>69</v>
      </c>
      <c r="F756">
        <v>10</v>
      </c>
      <c r="G756">
        <v>1429.67</v>
      </c>
      <c r="H756">
        <v>14296.7</v>
      </c>
      <c r="I756">
        <v>3</v>
      </c>
    </row>
    <row r="757" spans="1:9" x14ac:dyDescent="0.35">
      <c r="A757" t="s">
        <v>1099</v>
      </c>
      <c r="B757" t="s">
        <v>556</v>
      </c>
      <c r="C757" t="s">
        <v>11</v>
      </c>
      <c r="D757" t="s">
        <v>24</v>
      </c>
      <c r="E757" t="s">
        <v>44</v>
      </c>
      <c r="F757">
        <v>7</v>
      </c>
      <c r="G757">
        <v>551.70000000000005</v>
      </c>
      <c r="H757">
        <v>3861.9</v>
      </c>
      <c r="I757">
        <v>4.3</v>
      </c>
    </row>
    <row r="758" spans="1:9" x14ac:dyDescent="0.35">
      <c r="A758" t="s">
        <v>1100</v>
      </c>
      <c r="B758" t="s">
        <v>76</v>
      </c>
      <c r="C758" t="s">
        <v>38</v>
      </c>
      <c r="D758" t="s">
        <v>24</v>
      </c>
      <c r="E758" t="s">
        <v>69</v>
      </c>
      <c r="F758">
        <v>24</v>
      </c>
      <c r="G758">
        <v>345.75</v>
      </c>
      <c r="H758">
        <v>8298</v>
      </c>
      <c r="I758">
        <v>3.2</v>
      </c>
    </row>
    <row r="759" spans="1:9" x14ac:dyDescent="0.35">
      <c r="A759" t="s">
        <v>1101</v>
      </c>
      <c r="B759" t="s">
        <v>33</v>
      </c>
      <c r="C759" t="s">
        <v>11</v>
      </c>
      <c r="D759" t="s">
        <v>24</v>
      </c>
      <c r="E759" t="s">
        <v>44</v>
      </c>
      <c r="F759">
        <v>1</v>
      </c>
      <c r="G759">
        <v>1337.9</v>
      </c>
      <c r="H759">
        <v>1337.9</v>
      </c>
      <c r="I759">
        <v>4.7</v>
      </c>
    </row>
    <row r="760" spans="1:9" x14ac:dyDescent="0.35">
      <c r="A760" t="s">
        <v>1102</v>
      </c>
      <c r="B760" t="s">
        <v>457</v>
      </c>
      <c r="C760" t="s">
        <v>16</v>
      </c>
      <c r="D760" t="s">
        <v>19</v>
      </c>
      <c r="E760" t="s">
        <v>31</v>
      </c>
      <c r="F760">
        <v>14</v>
      </c>
      <c r="G760">
        <v>825.99</v>
      </c>
      <c r="H760">
        <v>11563.86</v>
      </c>
      <c r="I760">
        <v>4.0999999999999996</v>
      </c>
    </row>
    <row r="761" spans="1:9" x14ac:dyDescent="0.35">
      <c r="A761" t="s">
        <v>1103</v>
      </c>
      <c r="B761" t="s">
        <v>1029</v>
      </c>
      <c r="C761" t="s">
        <v>23</v>
      </c>
      <c r="D761" t="s">
        <v>19</v>
      </c>
      <c r="E761" t="s">
        <v>28</v>
      </c>
      <c r="F761">
        <v>25</v>
      </c>
      <c r="G761">
        <v>961.02</v>
      </c>
      <c r="H761">
        <v>24025.5</v>
      </c>
      <c r="I761">
        <v>4.5</v>
      </c>
    </row>
    <row r="762" spans="1:9" x14ac:dyDescent="0.35">
      <c r="A762" t="s">
        <v>1104</v>
      </c>
      <c r="B762" t="s">
        <v>266</v>
      </c>
      <c r="C762" t="s">
        <v>11</v>
      </c>
      <c r="D762" t="s">
        <v>12</v>
      </c>
      <c r="E762" t="s">
        <v>17</v>
      </c>
      <c r="F762">
        <v>12</v>
      </c>
      <c r="G762">
        <v>1268.95</v>
      </c>
      <c r="H762">
        <v>15227.4</v>
      </c>
      <c r="I762">
        <v>4.8</v>
      </c>
    </row>
    <row r="763" spans="1:9" x14ac:dyDescent="0.35">
      <c r="A763" t="s">
        <v>1105</v>
      </c>
      <c r="B763" t="s">
        <v>474</v>
      </c>
      <c r="C763" t="s">
        <v>23</v>
      </c>
      <c r="D763" t="s">
        <v>19</v>
      </c>
      <c r="E763" t="s">
        <v>28</v>
      </c>
      <c r="F763">
        <v>23</v>
      </c>
      <c r="G763">
        <v>1126.02</v>
      </c>
      <c r="H763">
        <v>25898.46</v>
      </c>
      <c r="I763">
        <v>4.7</v>
      </c>
    </row>
    <row r="764" spans="1:9" x14ac:dyDescent="0.35">
      <c r="A764" t="s">
        <v>1106</v>
      </c>
      <c r="B764" t="s">
        <v>62</v>
      </c>
      <c r="C764" t="s">
        <v>23</v>
      </c>
      <c r="D764" t="s">
        <v>24</v>
      </c>
      <c r="E764" t="s">
        <v>44</v>
      </c>
      <c r="F764">
        <v>14</v>
      </c>
      <c r="G764">
        <v>1459.59</v>
      </c>
      <c r="H764">
        <v>20434.259999999998</v>
      </c>
      <c r="I764">
        <v>3.6</v>
      </c>
    </row>
    <row r="765" spans="1:9" x14ac:dyDescent="0.35">
      <c r="A765" t="s">
        <v>1107</v>
      </c>
      <c r="B765" t="s">
        <v>288</v>
      </c>
      <c r="C765" t="s">
        <v>38</v>
      </c>
      <c r="D765" t="s">
        <v>12</v>
      </c>
      <c r="E765" t="s">
        <v>17</v>
      </c>
      <c r="F765">
        <v>17</v>
      </c>
      <c r="G765">
        <v>192.84</v>
      </c>
      <c r="H765">
        <v>3278.28</v>
      </c>
      <c r="I765">
        <v>4.9000000000000004</v>
      </c>
    </row>
    <row r="766" spans="1:9" x14ac:dyDescent="0.35">
      <c r="A766" t="s">
        <v>1108</v>
      </c>
      <c r="B766" t="s">
        <v>496</v>
      </c>
      <c r="C766" t="s">
        <v>11</v>
      </c>
      <c r="D766" t="s">
        <v>24</v>
      </c>
      <c r="E766" t="s">
        <v>69</v>
      </c>
      <c r="F766">
        <v>15</v>
      </c>
      <c r="G766">
        <v>671.18</v>
      </c>
      <c r="H766">
        <v>10067.700000000001</v>
      </c>
      <c r="I766">
        <v>4</v>
      </c>
    </row>
    <row r="767" spans="1:9" x14ac:dyDescent="0.35">
      <c r="A767" t="s">
        <v>1109</v>
      </c>
      <c r="B767" t="s">
        <v>1110</v>
      </c>
      <c r="C767" t="s">
        <v>11</v>
      </c>
      <c r="D767" t="s">
        <v>12</v>
      </c>
      <c r="E767" t="s">
        <v>90</v>
      </c>
      <c r="F767">
        <v>20</v>
      </c>
      <c r="G767">
        <v>343.63</v>
      </c>
      <c r="H767">
        <v>6872.6</v>
      </c>
      <c r="I767">
        <v>3.3</v>
      </c>
    </row>
    <row r="768" spans="1:9" x14ac:dyDescent="0.35">
      <c r="A768" t="s">
        <v>1111</v>
      </c>
      <c r="B768" t="s">
        <v>364</v>
      </c>
      <c r="C768" t="s">
        <v>11</v>
      </c>
      <c r="D768" t="s">
        <v>12</v>
      </c>
      <c r="E768" t="s">
        <v>13</v>
      </c>
      <c r="F768">
        <v>16</v>
      </c>
      <c r="G768">
        <v>1056.5899999999999</v>
      </c>
      <c r="H768">
        <v>16905.439999999999</v>
      </c>
      <c r="I768">
        <v>4.2</v>
      </c>
    </row>
    <row r="769" spans="1:9" x14ac:dyDescent="0.35">
      <c r="A769" t="s">
        <v>1112</v>
      </c>
      <c r="B769" t="s">
        <v>474</v>
      </c>
      <c r="C769" t="s">
        <v>11</v>
      </c>
      <c r="D769" t="s">
        <v>19</v>
      </c>
      <c r="E769" t="s">
        <v>20</v>
      </c>
      <c r="F769">
        <v>13</v>
      </c>
      <c r="G769">
        <v>611.63</v>
      </c>
      <c r="H769">
        <v>7951.19</v>
      </c>
      <c r="I769">
        <v>3.8</v>
      </c>
    </row>
    <row r="770" spans="1:9" x14ac:dyDescent="0.35">
      <c r="A770" t="s">
        <v>1113</v>
      </c>
      <c r="B770" t="s">
        <v>192</v>
      </c>
      <c r="C770" t="s">
        <v>11</v>
      </c>
      <c r="D770" t="s">
        <v>12</v>
      </c>
      <c r="E770" t="s">
        <v>13</v>
      </c>
      <c r="F770">
        <v>25</v>
      </c>
      <c r="G770">
        <v>1389.82</v>
      </c>
      <c r="H770">
        <v>34745.5</v>
      </c>
      <c r="I770">
        <v>4.0999999999999996</v>
      </c>
    </row>
    <row r="771" spans="1:9" x14ac:dyDescent="0.35">
      <c r="A771" t="s">
        <v>1114</v>
      </c>
      <c r="B771" t="s">
        <v>266</v>
      </c>
      <c r="C771" t="s">
        <v>16</v>
      </c>
      <c r="D771" t="s">
        <v>24</v>
      </c>
      <c r="E771" t="s">
        <v>69</v>
      </c>
      <c r="F771">
        <v>14</v>
      </c>
      <c r="G771">
        <v>390.52</v>
      </c>
      <c r="H771">
        <v>5467.28</v>
      </c>
      <c r="I771">
        <v>4.4000000000000004</v>
      </c>
    </row>
    <row r="772" spans="1:9" x14ac:dyDescent="0.35">
      <c r="A772" t="s">
        <v>1115</v>
      </c>
      <c r="B772" t="s">
        <v>157</v>
      </c>
      <c r="C772" t="s">
        <v>23</v>
      </c>
      <c r="D772" t="s">
        <v>19</v>
      </c>
      <c r="E772" t="s">
        <v>28</v>
      </c>
      <c r="F772">
        <v>10</v>
      </c>
      <c r="G772">
        <v>669.55</v>
      </c>
      <c r="H772">
        <v>6695.5</v>
      </c>
      <c r="I772">
        <v>3.2</v>
      </c>
    </row>
    <row r="773" spans="1:9" x14ac:dyDescent="0.35">
      <c r="A773" t="s">
        <v>1116</v>
      </c>
      <c r="B773" t="s">
        <v>886</v>
      </c>
      <c r="C773" t="s">
        <v>38</v>
      </c>
      <c r="D773" t="s">
        <v>24</v>
      </c>
      <c r="E773" t="s">
        <v>69</v>
      </c>
      <c r="F773">
        <v>18</v>
      </c>
      <c r="G773">
        <v>109.24</v>
      </c>
      <c r="H773">
        <v>1966.32</v>
      </c>
      <c r="I773">
        <v>3.9</v>
      </c>
    </row>
    <row r="774" spans="1:9" x14ac:dyDescent="0.35">
      <c r="A774" t="s">
        <v>1117</v>
      </c>
      <c r="B774" t="s">
        <v>477</v>
      </c>
      <c r="C774" t="s">
        <v>11</v>
      </c>
      <c r="D774" t="s">
        <v>24</v>
      </c>
      <c r="E774" t="s">
        <v>69</v>
      </c>
      <c r="F774">
        <v>11</v>
      </c>
      <c r="G774">
        <v>23.37</v>
      </c>
      <c r="H774">
        <v>257.07</v>
      </c>
      <c r="I774">
        <v>3.6</v>
      </c>
    </row>
    <row r="775" spans="1:9" x14ac:dyDescent="0.35">
      <c r="A775" t="s">
        <v>1118</v>
      </c>
      <c r="B775" t="s">
        <v>140</v>
      </c>
      <c r="C775" t="s">
        <v>38</v>
      </c>
      <c r="D775" t="s">
        <v>12</v>
      </c>
      <c r="E775" t="s">
        <v>90</v>
      </c>
      <c r="F775">
        <v>7</v>
      </c>
      <c r="G775">
        <v>1402.19</v>
      </c>
      <c r="H775">
        <v>9815.33</v>
      </c>
      <c r="I775">
        <v>4.8</v>
      </c>
    </row>
    <row r="776" spans="1:9" x14ac:dyDescent="0.35">
      <c r="A776" t="s">
        <v>1119</v>
      </c>
      <c r="B776" t="s">
        <v>321</v>
      </c>
      <c r="C776" t="s">
        <v>16</v>
      </c>
      <c r="D776" t="s">
        <v>24</v>
      </c>
      <c r="E776" t="s">
        <v>44</v>
      </c>
      <c r="F776">
        <v>23</v>
      </c>
      <c r="G776">
        <v>1098.0899999999999</v>
      </c>
      <c r="H776">
        <v>25256.07</v>
      </c>
      <c r="I776">
        <v>4.4000000000000004</v>
      </c>
    </row>
    <row r="777" spans="1:9" x14ac:dyDescent="0.35">
      <c r="A777" t="s">
        <v>1120</v>
      </c>
      <c r="B777" t="s">
        <v>403</v>
      </c>
      <c r="C777" t="s">
        <v>16</v>
      </c>
      <c r="D777" t="s">
        <v>12</v>
      </c>
      <c r="E777" t="s">
        <v>90</v>
      </c>
      <c r="F777">
        <v>5</v>
      </c>
      <c r="G777">
        <v>1283</v>
      </c>
      <c r="H777">
        <v>6415</v>
      </c>
      <c r="I777">
        <v>4.7</v>
      </c>
    </row>
    <row r="778" spans="1:9" x14ac:dyDescent="0.35">
      <c r="A778" t="s">
        <v>1121</v>
      </c>
      <c r="B778" t="s">
        <v>438</v>
      </c>
      <c r="C778" t="s">
        <v>38</v>
      </c>
      <c r="D778" t="s">
        <v>12</v>
      </c>
      <c r="E778" t="s">
        <v>17</v>
      </c>
      <c r="F778">
        <v>15</v>
      </c>
      <c r="G778">
        <v>276.14</v>
      </c>
      <c r="H778">
        <v>4142.1000000000004</v>
      </c>
      <c r="I778">
        <v>3.5</v>
      </c>
    </row>
    <row r="779" spans="1:9" x14ac:dyDescent="0.35">
      <c r="A779" t="s">
        <v>1122</v>
      </c>
      <c r="B779" t="s">
        <v>410</v>
      </c>
      <c r="C779" t="s">
        <v>11</v>
      </c>
      <c r="D779" t="s">
        <v>12</v>
      </c>
      <c r="E779" t="s">
        <v>13</v>
      </c>
      <c r="F779">
        <v>17</v>
      </c>
      <c r="G779">
        <v>1417.51</v>
      </c>
      <c r="H779">
        <v>24097.67</v>
      </c>
      <c r="I779">
        <v>3.5</v>
      </c>
    </row>
    <row r="780" spans="1:9" x14ac:dyDescent="0.35">
      <c r="A780" t="s">
        <v>1123</v>
      </c>
      <c r="B780" t="s">
        <v>833</v>
      </c>
      <c r="C780" t="s">
        <v>16</v>
      </c>
      <c r="D780" t="s">
        <v>19</v>
      </c>
      <c r="E780" t="s">
        <v>28</v>
      </c>
      <c r="F780">
        <v>20</v>
      </c>
      <c r="G780">
        <v>236.73</v>
      </c>
      <c r="H780">
        <v>4734.6000000000004</v>
      </c>
      <c r="I780">
        <v>4.9000000000000004</v>
      </c>
    </row>
    <row r="781" spans="1:9" x14ac:dyDescent="0.35">
      <c r="A781" t="s">
        <v>1124</v>
      </c>
      <c r="B781" t="s">
        <v>291</v>
      </c>
      <c r="C781" t="s">
        <v>38</v>
      </c>
      <c r="D781" t="s">
        <v>12</v>
      </c>
      <c r="E781" t="s">
        <v>90</v>
      </c>
      <c r="F781">
        <v>9</v>
      </c>
      <c r="G781">
        <v>136.83000000000001</v>
      </c>
      <c r="H781">
        <v>1231.47</v>
      </c>
      <c r="I781">
        <v>3.4</v>
      </c>
    </row>
    <row r="782" spans="1:9" x14ac:dyDescent="0.35">
      <c r="A782" t="s">
        <v>1125</v>
      </c>
      <c r="B782" t="s">
        <v>699</v>
      </c>
      <c r="C782" t="s">
        <v>38</v>
      </c>
      <c r="D782" t="s">
        <v>12</v>
      </c>
      <c r="E782" t="s">
        <v>90</v>
      </c>
      <c r="F782">
        <v>1</v>
      </c>
      <c r="G782">
        <v>420.88</v>
      </c>
      <c r="H782">
        <v>420.88</v>
      </c>
      <c r="I782">
        <v>4.5999999999999996</v>
      </c>
    </row>
    <row r="783" spans="1:9" x14ac:dyDescent="0.35">
      <c r="A783" t="s">
        <v>1126</v>
      </c>
      <c r="B783" t="s">
        <v>149</v>
      </c>
      <c r="C783" t="s">
        <v>23</v>
      </c>
      <c r="D783" t="s">
        <v>24</v>
      </c>
      <c r="E783" t="s">
        <v>69</v>
      </c>
      <c r="F783">
        <v>22</v>
      </c>
      <c r="G783">
        <v>9.9499999999999993</v>
      </c>
      <c r="H783">
        <v>218.9</v>
      </c>
      <c r="I783">
        <v>3.5</v>
      </c>
    </row>
    <row r="784" spans="1:9" x14ac:dyDescent="0.35">
      <c r="A784" t="s">
        <v>1127</v>
      </c>
      <c r="B784" t="s">
        <v>877</v>
      </c>
      <c r="C784" t="s">
        <v>23</v>
      </c>
      <c r="D784" t="s">
        <v>19</v>
      </c>
      <c r="E784" t="s">
        <v>28</v>
      </c>
      <c r="F784">
        <v>25</v>
      </c>
      <c r="G784">
        <v>36.799999999999997</v>
      </c>
      <c r="H784">
        <v>920</v>
      </c>
      <c r="I784">
        <v>4.2</v>
      </c>
    </row>
    <row r="785" spans="1:9" x14ac:dyDescent="0.35">
      <c r="A785" t="s">
        <v>1128</v>
      </c>
      <c r="B785" t="s">
        <v>145</v>
      </c>
      <c r="C785" t="s">
        <v>38</v>
      </c>
      <c r="D785" t="s">
        <v>12</v>
      </c>
      <c r="E785" t="s">
        <v>17</v>
      </c>
      <c r="F785">
        <v>16</v>
      </c>
      <c r="G785">
        <v>264.14999999999998</v>
      </c>
      <c r="H785">
        <v>4226.3999999999996</v>
      </c>
      <c r="I785">
        <v>3.5</v>
      </c>
    </row>
    <row r="786" spans="1:9" x14ac:dyDescent="0.35">
      <c r="A786" t="s">
        <v>1129</v>
      </c>
      <c r="B786" t="s">
        <v>68</v>
      </c>
      <c r="C786" t="s">
        <v>11</v>
      </c>
      <c r="D786" t="s">
        <v>24</v>
      </c>
      <c r="E786" t="s">
        <v>25</v>
      </c>
      <c r="F786">
        <v>14</v>
      </c>
      <c r="G786">
        <v>164.09</v>
      </c>
      <c r="H786">
        <v>2297.2600000000002</v>
      </c>
      <c r="I786">
        <v>4.8</v>
      </c>
    </row>
    <row r="787" spans="1:9" x14ac:dyDescent="0.35">
      <c r="A787" t="s">
        <v>1130</v>
      </c>
      <c r="B787" t="s">
        <v>315</v>
      </c>
      <c r="C787" t="s">
        <v>38</v>
      </c>
      <c r="D787" t="s">
        <v>19</v>
      </c>
      <c r="E787" t="s">
        <v>31</v>
      </c>
      <c r="F787">
        <v>25</v>
      </c>
      <c r="G787">
        <v>1058.3900000000001</v>
      </c>
      <c r="H787">
        <v>26459.75</v>
      </c>
      <c r="I787">
        <v>4.5</v>
      </c>
    </row>
    <row r="788" spans="1:9" x14ac:dyDescent="0.35">
      <c r="A788" t="s">
        <v>1131</v>
      </c>
      <c r="B788" t="s">
        <v>347</v>
      </c>
      <c r="C788" t="s">
        <v>11</v>
      </c>
      <c r="D788" t="s">
        <v>19</v>
      </c>
      <c r="E788" t="s">
        <v>31</v>
      </c>
      <c r="F788">
        <v>14</v>
      </c>
      <c r="G788">
        <v>1289.25</v>
      </c>
      <c r="H788">
        <v>18049.5</v>
      </c>
      <c r="I788">
        <v>4</v>
      </c>
    </row>
    <row r="789" spans="1:9" x14ac:dyDescent="0.35">
      <c r="A789" t="s">
        <v>1132</v>
      </c>
      <c r="B789" t="s">
        <v>184</v>
      </c>
      <c r="C789" t="s">
        <v>11</v>
      </c>
      <c r="D789" t="s">
        <v>24</v>
      </c>
      <c r="E789" t="s">
        <v>69</v>
      </c>
      <c r="F789">
        <v>15</v>
      </c>
      <c r="G789">
        <v>990.62</v>
      </c>
      <c r="H789">
        <v>14859.3</v>
      </c>
      <c r="I789">
        <v>4.8</v>
      </c>
    </row>
    <row r="790" spans="1:9" x14ac:dyDescent="0.35">
      <c r="A790" t="s">
        <v>1133</v>
      </c>
      <c r="B790" t="s">
        <v>679</v>
      </c>
      <c r="C790" t="s">
        <v>23</v>
      </c>
      <c r="D790" t="s">
        <v>24</v>
      </c>
      <c r="E790" t="s">
        <v>25</v>
      </c>
      <c r="F790">
        <v>7</v>
      </c>
      <c r="G790">
        <v>339.57</v>
      </c>
      <c r="H790">
        <v>2376.9899999999998</v>
      </c>
      <c r="I790">
        <v>3.5</v>
      </c>
    </row>
    <row r="791" spans="1:9" x14ac:dyDescent="0.35">
      <c r="A791" t="s">
        <v>1134</v>
      </c>
      <c r="B791" t="s">
        <v>701</v>
      </c>
      <c r="C791" t="s">
        <v>38</v>
      </c>
      <c r="D791" t="s">
        <v>24</v>
      </c>
      <c r="E791" t="s">
        <v>25</v>
      </c>
      <c r="F791">
        <v>24</v>
      </c>
      <c r="G791">
        <v>328.91</v>
      </c>
      <c r="H791">
        <v>7893.84</v>
      </c>
      <c r="I791">
        <v>4.0999999999999996</v>
      </c>
    </row>
    <row r="792" spans="1:9" x14ac:dyDescent="0.35">
      <c r="A792" t="s">
        <v>1135</v>
      </c>
      <c r="B792" t="s">
        <v>239</v>
      </c>
      <c r="C792" t="s">
        <v>11</v>
      </c>
      <c r="D792" t="s">
        <v>12</v>
      </c>
      <c r="E792" t="s">
        <v>90</v>
      </c>
      <c r="F792">
        <v>23</v>
      </c>
      <c r="G792">
        <v>283.49</v>
      </c>
      <c r="H792">
        <v>6520.27</v>
      </c>
      <c r="I792">
        <v>4.2</v>
      </c>
    </row>
    <row r="793" spans="1:9" x14ac:dyDescent="0.35">
      <c r="A793" t="s">
        <v>1136</v>
      </c>
      <c r="B793" t="s">
        <v>1137</v>
      </c>
      <c r="C793" t="s">
        <v>38</v>
      </c>
      <c r="D793" t="s">
        <v>24</v>
      </c>
      <c r="E793" t="s">
        <v>44</v>
      </c>
      <c r="F793">
        <v>10</v>
      </c>
      <c r="G793">
        <v>910.39</v>
      </c>
      <c r="H793">
        <v>9103.9</v>
      </c>
      <c r="I793">
        <v>4.3</v>
      </c>
    </row>
    <row r="794" spans="1:9" x14ac:dyDescent="0.35">
      <c r="A794" t="s">
        <v>1138</v>
      </c>
      <c r="B794" t="s">
        <v>578</v>
      </c>
      <c r="C794" t="s">
        <v>23</v>
      </c>
      <c r="D794" t="s">
        <v>24</v>
      </c>
      <c r="E794" t="s">
        <v>25</v>
      </c>
      <c r="F794">
        <v>18</v>
      </c>
      <c r="G794">
        <v>1468.8</v>
      </c>
      <c r="H794">
        <v>26438.400000000001</v>
      </c>
      <c r="I794">
        <v>4.3</v>
      </c>
    </row>
    <row r="795" spans="1:9" x14ac:dyDescent="0.35">
      <c r="A795" t="s">
        <v>1139</v>
      </c>
      <c r="B795" t="s">
        <v>631</v>
      </c>
      <c r="C795" t="s">
        <v>16</v>
      </c>
      <c r="D795" t="s">
        <v>12</v>
      </c>
      <c r="E795" t="s">
        <v>13</v>
      </c>
      <c r="F795">
        <v>8</v>
      </c>
      <c r="G795">
        <v>293.86</v>
      </c>
      <c r="H795">
        <v>2350.88</v>
      </c>
      <c r="I795">
        <v>5</v>
      </c>
    </row>
    <row r="796" spans="1:9" x14ac:dyDescent="0.35">
      <c r="A796" t="s">
        <v>1140</v>
      </c>
      <c r="B796" t="s">
        <v>82</v>
      </c>
      <c r="C796" t="s">
        <v>11</v>
      </c>
      <c r="D796" t="s">
        <v>24</v>
      </c>
      <c r="E796" t="s">
        <v>69</v>
      </c>
      <c r="F796">
        <v>23</v>
      </c>
      <c r="G796">
        <v>712.26</v>
      </c>
      <c r="H796">
        <v>16381.98</v>
      </c>
      <c r="I796">
        <v>3.4</v>
      </c>
    </row>
    <row r="797" spans="1:9" x14ac:dyDescent="0.35">
      <c r="A797" t="s">
        <v>1141</v>
      </c>
      <c r="B797" t="s">
        <v>244</v>
      </c>
      <c r="C797" t="s">
        <v>11</v>
      </c>
      <c r="D797" t="s">
        <v>12</v>
      </c>
      <c r="E797" t="s">
        <v>17</v>
      </c>
      <c r="F797">
        <v>23</v>
      </c>
      <c r="G797">
        <v>1041.6400000000001</v>
      </c>
      <c r="H797">
        <v>23957.72</v>
      </c>
      <c r="I797">
        <v>4</v>
      </c>
    </row>
    <row r="798" spans="1:9" x14ac:dyDescent="0.35">
      <c r="A798" t="s">
        <v>1142</v>
      </c>
      <c r="B798" t="s">
        <v>324</v>
      </c>
      <c r="C798" t="s">
        <v>16</v>
      </c>
      <c r="D798" t="s">
        <v>24</v>
      </c>
      <c r="E798" t="s">
        <v>44</v>
      </c>
      <c r="F798">
        <v>23</v>
      </c>
      <c r="G798">
        <v>1212.73</v>
      </c>
      <c r="H798">
        <v>27892.79</v>
      </c>
      <c r="I798">
        <v>3.8</v>
      </c>
    </row>
    <row r="799" spans="1:9" x14ac:dyDescent="0.35">
      <c r="A799" t="s">
        <v>1143</v>
      </c>
      <c r="B799" t="s">
        <v>778</v>
      </c>
      <c r="C799" t="s">
        <v>11</v>
      </c>
      <c r="D799" t="s">
        <v>24</v>
      </c>
      <c r="E799" t="s">
        <v>44</v>
      </c>
      <c r="F799">
        <v>10</v>
      </c>
      <c r="G799">
        <v>441.13</v>
      </c>
      <c r="H799">
        <v>4411.3</v>
      </c>
      <c r="I799">
        <v>3.2</v>
      </c>
    </row>
    <row r="800" spans="1:9" x14ac:dyDescent="0.35">
      <c r="A800" t="s">
        <v>1144</v>
      </c>
      <c r="B800" t="s">
        <v>508</v>
      </c>
      <c r="C800" t="s">
        <v>23</v>
      </c>
      <c r="D800" t="s">
        <v>24</v>
      </c>
      <c r="E800" t="s">
        <v>69</v>
      </c>
      <c r="F800">
        <v>23</v>
      </c>
      <c r="G800">
        <v>258.88</v>
      </c>
      <c r="H800">
        <v>5954.24</v>
      </c>
      <c r="I800">
        <v>3.3</v>
      </c>
    </row>
    <row r="801" spans="1:9" x14ac:dyDescent="0.35">
      <c r="A801" t="s">
        <v>1145</v>
      </c>
      <c r="B801" t="s">
        <v>1146</v>
      </c>
      <c r="C801" t="s">
        <v>11</v>
      </c>
      <c r="D801" t="s">
        <v>24</v>
      </c>
      <c r="E801" t="s">
        <v>25</v>
      </c>
      <c r="F801">
        <v>22</v>
      </c>
      <c r="G801">
        <v>513.52</v>
      </c>
      <c r="H801">
        <v>11297.44</v>
      </c>
      <c r="I801">
        <v>4.8</v>
      </c>
    </row>
    <row r="802" spans="1:9" x14ac:dyDescent="0.35">
      <c r="A802" t="s">
        <v>1147</v>
      </c>
      <c r="B802" t="s">
        <v>105</v>
      </c>
      <c r="C802" t="s">
        <v>16</v>
      </c>
      <c r="D802" t="s">
        <v>24</v>
      </c>
      <c r="E802" t="s">
        <v>25</v>
      </c>
      <c r="F802">
        <v>10</v>
      </c>
      <c r="G802">
        <v>1493.53</v>
      </c>
      <c r="H802">
        <v>14935.3</v>
      </c>
      <c r="I802">
        <v>4.5</v>
      </c>
    </row>
    <row r="803" spans="1:9" x14ac:dyDescent="0.35">
      <c r="A803" t="s">
        <v>1148</v>
      </c>
      <c r="B803" t="s">
        <v>157</v>
      </c>
      <c r="C803" t="s">
        <v>23</v>
      </c>
      <c r="D803" t="s">
        <v>24</v>
      </c>
      <c r="E803" t="s">
        <v>25</v>
      </c>
      <c r="F803">
        <v>6</v>
      </c>
      <c r="G803">
        <v>296.26</v>
      </c>
      <c r="H803">
        <v>1777.56</v>
      </c>
      <c r="I803">
        <v>4.8</v>
      </c>
    </row>
    <row r="804" spans="1:9" x14ac:dyDescent="0.35">
      <c r="A804" t="s">
        <v>1149</v>
      </c>
      <c r="B804" t="s">
        <v>1150</v>
      </c>
      <c r="C804" t="s">
        <v>38</v>
      </c>
      <c r="D804" t="s">
        <v>19</v>
      </c>
      <c r="E804" t="s">
        <v>31</v>
      </c>
      <c r="F804">
        <v>16</v>
      </c>
      <c r="G804">
        <v>246.09</v>
      </c>
      <c r="H804">
        <v>3937.44</v>
      </c>
      <c r="I804">
        <v>4.7</v>
      </c>
    </row>
    <row r="805" spans="1:9" x14ac:dyDescent="0.35">
      <c r="A805" t="s">
        <v>1151</v>
      </c>
      <c r="B805" t="s">
        <v>567</v>
      </c>
      <c r="C805" t="s">
        <v>23</v>
      </c>
      <c r="D805" t="s">
        <v>24</v>
      </c>
      <c r="E805" t="s">
        <v>69</v>
      </c>
      <c r="F805">
        <v>16</v>
      </c>
      <c r="G805">
        <v>522.69000000000005</v>
      </c>
      <c r="H805">
        <v>8363.0400000000009</v>
      </c>
      <c r="I805">
        <v>3.2</v>
      </c>
    </row>
    <row r="806" spans="1:9" x14ac:dyDescent="0.35">
      <c r="A806" t="s">
        <v>1152</v>
      </c>
      <c r="B806" t="s">
        <v>981</v>
      </c>
      <c r="C806" t="s">
        <v>16</v>
      </c>
      <c r="D806" t="s">
        <v>12</v>
      </c>
      <c r="E806" t="s">
        <v>13</v>
      </c>
      <c r="F806">
        <v>25</v>
      </c>
      <c r="G806">
        <v>574.54</v>
      </c>
      <c r="H806">
        <v>14363.5</v>
      </c>
      <c r="I806">
        <v>4</v>
      </c>
    </row>
    <row r="807" spans="1:9" x14ac:dyDescent="0.35">
      <c r="A807" t="s">
        <v>1153</v>
      </c>
      <c r="B807" t="s">
        <v>1154</v>
      </c>
      <c r="C807" t="s">
        <v>38</v>
      </c>
      <c r="D807" t="s">
        <v>12</v>
      </c>
      <c r="E807" t="s">
        <v>90</v>
      </c>
      <c r="F807">
        <v>14</v>
      </c>
      <c r="G807">
        <v>373.39</v>
      </c>
      <c r="H807">
        <v>5227.46</v>
      </c>
      <c r="I807">
        <v>4.5</v>
      </c>
    </row>
    <row r="808" spans="1:9" x14ac:dyDescent="0.35">
      <c r="A808" t="s">
        <v>1155</v>
      </c>
      <c r="B808" t="s">
        <v>590</v>
      </c>
      <c r="C808" t="s">
        <v>11</v>
      </c>
      <c r="D808" t="s">
        <v>19</v>
      </c>
      <c r="E808" t="s">
        <v>28</v>
      </c>
      <c r="F808">
        <v>22</v>
      </c>
      <c r="G808">
        <v>595.32000000000005</v>
      </c>
      <c r="H808">
        <v>13097.04</v>
      </c>
      <c r="I808">
        <v>3.1</v>
      </c>
    </row>
    <row r="809" spans="1:9" x14ac:dyDescent="0.35">
      <c r="A809" t="s">
        <v>1156</v>
      </c>
      <c r="B809" t="s">
        <v>621</v>
      </c>
      <c r="C809" t="s">
        <v>23</v>
      </c>
      <c r="D809" t="s">
        <v>19</v>
      </c>
      <c r="E809" t="s">
        <v>31</v>
      </c>
      <c r="F809">
        <v>4</v>
      </c>
      <c r="G809">
        <v>1032.6500000000001</v>
      </c>
      <c r="H809">
        <v>4130.6000000000004</v>
      </c>
      <c r="I809">
        <v>4.9000000000000004</v>
      </c>
    </row>
    <row r="810" spans="1:9" x14ac:dyDescent="0.35">
      <c r="A810" t="s">
        <v>1157</v>
      </c>
      <c r="B810" t="s">
        <v>1158</v>
      </c>
      <c r="C810" t="s">
        <v>38</v>
      </c>
      <c r="D810" t="s">
        <v>19</v>
      </c>
      <c r="E810" t="s">
        <v>31</v>
      </c>
      <c r="F810">
        <v>6</v>
      </c>
      <c r="G810">
        <v>780.07</v>
      </c>
      <c r="H810">
        <v>4680.42</v>
      </c>
      <c r="I810">
        <v>3.8</v>
      </c>
    </row>
    <row r="811" spans="1:9" x14ac:dyDescent="0.35">
      <c r="A811" t="s">
        <v>1159</v>
      </c>
      <c r="B811" t="s">
        <v>607</v>
      </c>
      <c r="C811" t="s">
        <v>23</v>
      </c>
      <c r="D811" t="s">
        <v>12</v>
      </c>
      <c r="E811" t="s">
        <v>13</v>
      </c>
      <c r="F811">
        <v>2</v>
      </c>
      <c r="G811">
        <v>1305.01</v>
      </c>
      <c r="H811">
        <v>2610.02</v>
      </c>
      <c r="I811">
        <v>4.9000000000000004</v>
      </c>
    </row>
    <row r="812" spans="1:9" x14ac:dyDescent="0.35">
      <c r="A812" t="s">
        <v>1160</v>
      </c>
      <c r="B812" t="s">
        <v>48</v>
      </c>
      <c r="C812" t="s">
        <v>38</v>
      </c>
      <c r="D812" t="s">
        <v>19</v>
      </c>
      <c r="E812" t="s">
        <v>20</v>
      </c>
      <c r="F812">
        <v>21</v>
      </c>
      <c r="G812">
        <v>1479.64</v>
      </c>
      <c r="H812">
        <v>31072.44</v>
      </c>
      <c r="I812">
        <v>4.4000000000000004</v>
      </c>
    </row>
    <row r="813" spans="1:9" x14ac:dyDescent="0.35">
      <c r="A813" t="s">
        <v>1161</v>
      </c>
      <c r="B813" t="s">
        <v>87</v>
      </c>
      <c r="C813" t="s">
        <v>16</v>
      </c>
      <c r="D813" t="s">
        <v>24</v>
      </c>
      <c r="E813" t="s">
        <v>44</v>
      </c>
      <c r="F813">
        <v>13</v>
      </c>
      <c r="G813">
        <v>857.51</v>
      </c>
      <c r="H813">
        <v>11147.63</v>
      </c>
      <c r="I813">
        <v>3.8</v>
      </c>
    </row>
    <row r="814" spans="1:9" x14ac:dyDescent="0.35">
      <c r="A814" t="s">
        <v>1162</v>
      </c>
      <c r="B814" t="s">
        <v>56</v>
      </c>
      <c r="C814" t="s">
        <v>38</v>
      </c>
      <c r="D814" t="s">
        <v>12</v>
      </c>
      <c r="E814" t="s">
        <v>17</v>
      </c>
      <c r="F814">
        <v>5</v>
      </c>
      <c r="G814">
        <v>1293.48</v>
      </c>
      <c r="H814">
        <v>6467.4</v>
      </c>
      <c r="I814">
        <v>3.6</v>
      </c>
    </row>
    <row r="815" spans="1:9" x14ac:dyDescent="0.35">
      <c r="A815" t="s">
        <v>1163</v>
      </c>
      <c r="B815" t="s">
        <v>30</v>
      </c>
      <c r="C815" t="s">
        <v>16</v>
      </c>
      <c r="D815" t="s">
        <v>19</v>
      </c>
      <c r="E815" t="s">
        <v>20</v>
      </c>
      <c r="F815">
        <v>6</v>
      </c>
      <c r="G815">
        <v>723.23</v>
      </c>
      <c r="H815">
        <v>4339.38</v>
      </c>
      <c r="I815">
        <v>4.4000000000000004</v>
      </c>
    </row>
    <row r="816" spans="1:9" x14ac:dyDescent="0.35">
      <c r="A816" t="s">
        <v>1164</v>
      </c>
      <c r="B816" t="s">
        <v>1038</v>
      </c>
      <c r="C816" t="s">
        <v>38</v>
      </c>
      <c r="D816" t="s">
        <v>12</v>
      </c>
      <c r="E816" t="s">
        <v>13</v>
      </c>
      <c r="F816">
        <v>23</v>
      </c>
      <c r="G816">
        <v>464.74</v>
      </c>
      <c r="H816">
        <v>10689.02</v>
      </c>
      <c r="I816">
        <v>3.8</v>
      </c>
    </row>
    <row r="817" spans="1:9" x14ac:dyDescent="0.35">
      <c r="A817" t="s">
        <v>1165</v>
      </c>
      <c r="B817" t="s">
        <v>628</v>
      </c>
      <c r="C817" t="s">
        <v>23</v>
      </c>
      <c r="D817" t="s">
        <v>12</v>
      </c>
      <c r="E817" t="s">
        <v>17</v>
      </c>
      <c r="F817">
        <v>9</v>
      </c>
      <c r="G817">
        <v>1074.79</v>
      </c>
      <c r="H817">
        <v>9673.11</v>
      </c>
      <c r="I817">
        <v>5</v>
      </c>
    </row>
    <row r="818" spans="1:9" x14ac:dyDescent="0.35">
      <c r="A818" t="s">
        <v>1166</v>
      </c>
      <c r="B818" t="s">
        <v>321</v>
      </c>
      <c r="C818" t="s">
        <v>23</v>
      </c>
      <c r="D818" t="s">
        <v>19</v>
      </c>
      <c r="E818" t="s">
        <v>28</v>
      </c>
      <c r="F818">
        <v>8</v>
      </c>
      <c r="G818">
        <v>1084.95</v>
      </c>
      <c r="H818">
        <v>8679.6</v>
      </c>
      <c r="I818">
        <v>4.2</v>
      </c>
    </row>
    <row r="819" spans="1:9" x14ac:dyDescent="0.35">
      <c r="A819" t="s">
        <v>1167</v>
      </c>
      <c r="B819" t="s">
        <v>468</v>
      </c>
      <c r="C819" t="s">
        <v>11</v>
      </c>
      <c r="D819" t="s">
        <v>24</v>
      </c>
      <c r="E819" t="s">
        <v>25</v>
      </c>
      <c r="F819">
        <v>1</v>
      </c>
      <c r="G819">
        <v>1255.5</v>
      </c>
      <c r="H819">
        <v>1255.5</v>
      </c>
      <c r="I819">
        <v>3.9</v>
      </c>
    </row>
    <row r="820" spans="1:9" x14ac:dyDescent="0.35">
      <c r="A820" t="s">
        <v>1168</v>
      </c>
      <c r="B820" t="s">
        <v>40</v>
      </c>
      <c r="C820" t="s">
        <v>38</v>
      </c>
      <c r="D820" t="s">
        <v>12</v>
      </c>
      <c r="E820" t="s">
        <v>17</v>
      </c>
      <c r="F820">
        <v>5</v>
      </c>
      <c r="G820">
        <v>182.82</v>
      </c>
      <c r="H820">
        <v>914.1</v>
      </c>
      <c r="I820">
        <v>4.3</v>
      </c>
    </row>
    <row r="821" spans="1:9" x14ac:dyDescent="0.35">
      <c r="A821" t="s">
        <v>1169</v>
      </c>
      <c r="B821" t="s">
        <v>796</v>
      </c>
      <c r="C821" t="s">
        <v>16</v>
      </c>
      <c r="D821" t="s">
        <v>12</v>
      </c>
      <c r="E821" t="s">
        <v>90</v>
      </c>
      <c r="F821">
        <v>1</v>
      </c>
      <c r="G821">
        <v>279.27</v>
      </c>
      <c r="H821">
        <v>279.27</v>
      </c>
      <c r="I821">
        <v>4.7</v>
      </c>
    </row>
    <row r="822" spans="1:9" x14ac:dyDescent="0.35">
      <c r="A822" t="s">
        <v>1170</v>
      </c>
      <c r="B822" t="s">
        <v>964</v>
      </c>
      <c r="C822" t="s">
        <v>38</v>
      </c>
      <c r="D822" t="s">
        <v>12</v>
      </c>
      <c r="E822" t="s">
        <v>17</v>
      </c>
      <c r="F822">
        <v>12</v>
      </c>
      <c r="G822">
        <v>765.62</v>
      </c>
      <c r="H822">
        <v>9187.44</v>
      </c>
      <c r="I822">
        <v>3</v>
      </c>
    </row>
    <row r="823" spans="1:9" x14ac:dyDescent="0.35">
      <c r="A823" t="s">
        <v>1171</v>
      </c>
      <c r="B823" t="s">
        <v>120</v>
      </c>
      <c r="C823" t="s">
        <v>16</v>
      </c>
      <c r="D823" t="s">
        <v>19</v>
      </c>
      <c r="E823" t="s">
        <v>20</v>
      </c>
      <c r="F823">
        <v>3</v>
      </c>
      <c r="G823">
        <v>696.97</v>
      </c>
      <c r="H823">
        <v>2090.91</v>
      </c>
      <c r="I823">
        <v>3.5</v>
      </c>
    </row>
    <row r="824" spans="1:9" x14ac:dyDescent="0.35">
      <c r="A824" t="s">
        <v>1172</v>
      </c>
      <c r="B824" t="s">
        <v>374</v>
      </c>
      <c r="C824" t="s">
        <v>16</v>
      </c>
      <c r="D824" t="s">
        <v>12</v>
      </c>
      <c r="E824" t="s">
        <v>13</v>
      </c>
      <c r="F824">
        <v>20</v>
      </c>
      <c r="G824">
        <v>565.23</v>
      </c>
      <c r="H824">
        <v>11304.6</v>
      </c>
      <c r="I824">
        <v>4.8</v>
      </c>
    </row>
    <row r="825" spans="1:9" x14ac:dyDescent="0.35">
      <c r="A825" t="s">
        <v>1173</v>
      </c>
      <c r="B825" t="s">
        <v>459</v>
      </c>
      <c r="C825" t="s">
        <v>11</v>
      </c>
      <c r="D825" t="s">
        <v>12</v>
      </c>
      <c r="E825" t="s">
        <v>90</v>
      </c>
      <c r="F825">
        <v>23</v>
      </c>
      <c r="G825">
        <v>1019.33</v>
      </c>
      <c r="H825">
        <v>23444.59</v>
      </c>
      <c r="I825">
        <v>4.3</v>
      </c>
    </row>
    <row r="826" spans="1:9" x14ac:dyDescent="0.35">
      <c r="A826" t="s">
        <v>1174</v>
      </c>
      <c r="B826" t="s">
        <v>443</v>
      </c>
      <c r="C826" t="s">
        <v>11</v>
      </c>
      <c r="D826" t="s">
        <v>12</v>
      </c>
      <c r="E826" t="s">
        <v>90</v>
      </c>
      <c r="F826">
        <v>19</v>
      </c>
      <c r="G826">
        <v>219.17</v>
      </c>
      <c r="H826">
        <v>4164.2299999999996</v>
      </c>
      <c r="I826">
        <v>4.3</v>
      </c>
    </row>
    <row r="827" spans="1:9" x14ac:dyDescent="0.35">
      <c r="A827" t="s">
        <v>1175</v>
      </c>
      <c r="B827" t="s">
        <v>188</v>
      </c>
      <c r="C827" t="s">
        <v>16</v>
      </c>
      <c r="D827" t="s">
        <v>12</v>
      </c>
      <c r="E827" t="s">
        <v>17</v>
      </c>
      <c r="F827">
        <v>6</v>
      </c>
      <c r="G827">
        <v>1311.38</v>
      </c>
      <c r="H827">
        <v>7868.28</v>
      </c>
      <c r="I827">
        <v>3.7</v>
      </c>
    </row>
    <row r="828" spans="1:9" x14ac:dyDescent="0.35">
      <c r="A828" t="s">
        <v>1176</v>
      </c>
      <c r="B828" t="s">
        <v>502</v>
      </c>
      <c r="C828" t="s">
        <v>11</v>
      </c>
      <c r="D828" t="s">
        <v>19</v>
      </c>
      <c r="E828" t="s">
        <v>28</v>
      </c>
      <c r="F828">
        <v>22</v>
      </c>
      <c r="G828">
        <v>1167.75</v>
      </c>
      <c r="H828">
        <v>25690.5</v>
      </c>
      <c r="I828">
        <v>4.4000000000000004</v>
      </c>
    </row>
    <row r="829" spans="1:9" x14ac:dyDescent="0.35">
      <c r="A829" t="s">
        <v>1177</v>
      </c>
      <c r="B829" t="s">
        <v>933</v>
      </c>
      <c r="C829" t="s">
        <v>16</v>
      </c>
      <c r="D829" t="s">
        <v>12</v>
      </c>
      <c r="E829" t="s">
        <v>17</v>
      </c>
      <c r="F829">
        <v>22</v>
      </c>
      <c r="G829">
        <v>589.16999999999996</v>
      </c>
      <c r="H829">
        <v>12961.74</v>
      </c>
      <c r="I829">
        <v>4.4000000000000004</v>
      </c>
    </row>
    <row r="830" spans="1:9" x14ac:dyDescent="0.35">
      <c r="A830" t="s">
        <v>1178</v>
      </c>
      <c r="B830" t="s">
        <v>177</v>
      </c>
      <c r="C830" t="s">
        <v>16</v>
      </c>
      <c r="D830" t="s">
        <v>24</v>
      </c>
      <c r="E830" t="s">
        <v>25</v>
      </c>
      <c r="F830">
        <v>22</v>
      </c>
      <c r="G830">
        <v>582.05999999999995</v>
      </c>
      <c r="H830">
        <v>12805.32</v>
      </c>
      <c r="I830">
        <v>3.2</v>
      </c>
    </row>
    <row r="831" spans="1:9" x14ac:dyDescent="0.35">
      <c r="A831" t="s">
        <v>1179</v>
      </c>
      <c r="B831" t="s">
        <v>310</v>
      </c>
      <c r="C831" t="s">
        <v>38</v>
      </c>
      <c r="D831" t="s">
        <v>24</v>
      </c>
      <c r="E831" t="s">
        <v>44</v>
      </c>
      <c r="F831">
        <v>8</v>
      </c>
      <c r="G831">
        <v>373.14</v>
      </c>
      <c r="H831">
        <v>2985.12</v>
      </c>
      <c r="I831">
        <v>3.4</v>
      </c>
    </row>
    <row r="832" spans="1:9" x14ac:dyDescent="0.35">
      <c r="A832" t="s">
        <v>1180</v>
      </c>
      <c r="B832" t="s">
        <v>597</v>
      </c>
      <c r="C832" t="s">
        <v>23</v>
      </c>
      <c r="D832" t="s">
        <v>24</v>
      </c>
      <c r="E832" t="s">
        <v>44</v>
      </c>
      <c r="F832">
        <v>20</v>
      </c>
      <c r="G832">
        <v>756.78</v>
      </c>
      <c r="H832">
        <v>15135.6</v>
      </c>
      <c r="I832">
        <v>3.3</v>
      </c>
    </row>
    <row r="833" spans="1:9" x14ac:dyDescent="0.35">
      <c r="A833" t="s">
        <v>1181</v>
      </c>
      <c r="B833" t="s">
        <v>626</v>
      </c>
      <c r="C833" t="s">
        <v>23</v>
      </c>
      <c r="D833" t="s">
        <v>19</v>
      </c>
      <c r="E833" t="s">
        <v>31</v>
      </c>
      <c r="F833">
        <v>6</v>
      </c>
      <c r="G833">
        <v>31.17</v>
      </c>
      <c r="H833">
        <v>187.02</v>
      </c>
      <c r="I833">
        <v>4.5999999999999996</v>
      </c>
    </row>
    <row r="834" spans="1:9" x14ac:dyDescent="0.35">
      <c r="A834" t="s">
        <v>1182</v>
      </c>
      <c r="B834" t="s">
        <v>56</v>
      </c>
      <c r="C834" t="s">
        <v>23</v>
      </c>
      <c r="D834" t="s">
        <v>24</v>
      </c>
      <c r="E834" t="s">
        <v>44</v>
      </c>
      <c r="F834">
        <v>21</v>
      </c>
      <c r="G834">
        <v>1479.41</v>
      </c>
      <c r="H834">
        <v>31067.61</v>
      </c>
      <c r="I834">
        <v>4.5999999999999996</v>
      </c>
    </row>
    <row r="835" spans="1:9" x14ac:dyDescent="0.35">
      <c r="A835" t="s">
        <v>1183</v>
      </c>
      <c r="B835" t="s">
        <v>441</v>
      </c>
      <c r="C835" t="s">
        <v>11</v>
      </c>
      <c r="D835" t="s">
        <v>24</v>
      </c>
      <c r="E835" t="s">
        <v>25</v>
      </c>
      <c r="F835">
        <v>23</v>
      </c>
      <c r="G835">
        <v>1484.72</v>
      </c>
      <c r="H835">
        <v>34148.559999999998</v>
      </c>
      <c r="I835">
        <v>3.4</v>
      </c>
    </row>
    <row r="836" spans="1:9" x14ac:dyDescent="0.35">
      <c r="A836" t="s">
        <v>1184</v>
      </c>
      <c r="B836" t="s">
        <v>58</v>
      </c>
      <c r="C836" t="s">
        <v>38</v>
      </c>
      <c r="D836" t="s">
        <v>19</v>
      </c>
      <c r="E836" t="s">
        <v>31</v>
      </c>
      <c r="F836">
        <v>25</v>
      </c>
      <c r="G836">
        <v>1222.3699999999999</v>
      </c>
      <c r="H836">
        <v>30559.25</v>
      </c>
      <c r="I836">
        <v>4.9000000000000004</v>
      </c>
    </row>
    <row r="837" spans="1:9" x14ac:dyDescent="0.35">
      <c r="A837" t="s">
        <v>1185</v>
      </c>
      <c r="B837" t="s">
        <v>601</v>
      </c>
      <c r="C837" t="s">
        <v>23</v>
      </c>
      <c r="D837" t="s">
        <v>24</v>
      </c>
      <c r="E837" t="s">
        <v>25</v>
      </c>
      <c r="F837">
        <v>9</v>
      </c>
      <c r="G837">
        <v>779.37</v>
      </c>
      <c r="H837">
        <v>7014.33</v>
      </c>
      <c r="I837">
        <v>4.3</v>
      </c>
    </row>
    <row r="838" spans="1:9" x14ac:dyDescent="0.35">
      <c r="A838" t="s">
        <v>1186</v>
      </c>
      <c r="B838" t="s">
        <v>33</v>
      </c>
      <c r="C838" t="s">
        <v>23</v>
      </c>
      <c r="D838" t="s">
        <v>24</v>
      </c>
      <c r="E838" t="s">
        <v>44</v>
      </c>
      <c r="F838">
        <v>1</v>
      </c>
      <c r="G838">
        <v>830.6</v>
      </c>
      <c r="H838">
        <v>830.6</v>
      </c>
      <c r="I838">
        <v>4.3</v>
      </c>
    </row>
    <row r="839" spans="1:9" x14ac:dyDescent="0.35">
      <c r="A839" t="s">
        <v>1187</v>
      </c>
      <c r="B839" t="s">
        <v>277</v>
      </c>
      <c r="C839" t="s">
        <v>16</v>
      </c>
      <c r="D839" t="s">
        <v>24</v>
      </c>
      <c r="E839" t="s">
        <v>44</v>
      </c>
      <c r="F839">
        <v>3</v>
      </c>
      <c r="G839">
        <v>1043.3499999999999</v>
      </c>
      <c r="H839">
        <v>3130.05</v>
      </c>
      <c r="I839">
        <v>3.3</v>
      </c>
    </row>
    <row r="840" spans="1:9" x14ac:dyDescent="0.35">
      <c r="A840" t="s">
        <v>1188</v>
      </c>
      <c r="B840" t="s">
        <v>1189</v>
      </c>
      <c r="C840" t="s">
        <v>38</v>
      </c>
      <c r="D840" t="s">
        <v>24</v>
      </c>
      <c r="E840" t="s">
        <v>44</v>
      </c>
      <c r="F840">
        <v>17</v>
      </c>
      <c r="G840">
        <v>1343.73</v>
      </c>
      <c r="H840">
        <v>22843.41</v>
      </c>
      <c r="I840">
        <v>3.8</v>
      </c>
    </row>
    <row r="841" spans="1:9" x14ac:dyDescent="0.35">
      <c r="A841" t="s">
        <v>1190</v>
      </c>
      <c r="B841" t="s">
        <v>134</v>
      </c>
      <c r="C841" t="s">
        <v>38</v>
      </c>
      <c r="D841" t="s">
        <v>24</v>
      </c>
      <c r="E841" t="s">
        <v>25</v>
      </c>
      <c r="F841">
        <v>22</v>
      </c>
      <c r="G841">
        <v>171.08</v>
      </c>
      <c r="H841">
        <v>3763.76</v>
      </c>
      <c r="I841">
        <v>4.4000000000000004</v>
      </c>
    </row>
    <row r="842" spans="1:9" x14ac:dyDescent="0.35">
      <c r="A842" t="s">
        <v>1191</v>
      </c>
      <c r="B842" t="s">
        <v>362</v>
      </c>
      <c r="C842" t="s">
        <v>23</v>
      </c>
      <c r="D842" t="s">
        <v>24</v>
      </c>
      <c r="E842" t="s">
        <v>44</v>
      </c>
      <c r="F842">
        <v>11</v>
      </c>
      <c r="G842">
        <v>759.37</v>
      </c>
      <c r="H842">
        <v>8353.07</v>
      </c>
      <c r="I842">
        <v>3.8</v>
      </c>
    </row>
    <row r="843" spans="1:9" x14ac:dyDescent="0.35">
      <c r="A843" t="s">
        <v>1192</v>
      </c>
      <c r="B843" t="s">
        <v>157</v>
      </c>
      <c r="C843" t="s">
        <v>11</v>
      </c>
      <c r="D843" t="s">
        <v>24</v>
      </c>
      <c r="E843" t="s">
        <v>44</v>
      </c>
      <c r="F843">
        <v>16</v>
      </c>
      <c r="G843">
        <v>358.93</v>
      </c>
      <c r="H843">
        <v>5742.88</v>
      </c>
      <c r="I843">
        <v>3.1</v>
      </c>
    </row>
    <row r="844" spans="1:9" x14ac:dyDescent="0.35">
      <c r="A844" t="s">
        <v>1193</v>
      </c>
      <c r="B844" t="s">
        <v>788</v>
      </c>
      <c r="C844" t="s">
        <v>23</v>
      </c>
      <c r="D844" t="s">
        <v>19</v>
      </c>
      <c r="E844" t="s">
        <v>20</v>
      </c>
      <c r="F844">
        <v>1</v>
      </c>
      <c r="G844">
        <v>27.85</v>
      </c>
      <c r="H844">
        <v>27.85</v>
      </c>
      <c r="I844">
        <v>4.9000000000000004</v>
      </c>
    </row>
    <row r="845" spans="1:9" x14ac:dyDescent="0.35">
      <c r="A845" t="s">
        <v>1194</v>
      </c>
      <c r="B845" t="s">
        <v>1146</v>
      </c>
      <c r="C845" t="s">
        <v>38</v>
      </c>
      <c r="D845" t="s">
        <v>24</v>
      </c>
      <c r="E845" t="s">
        <v>69</v>
      </c>
      <c r="F845">
        <v>25</v>
      </c>
      <c r="G845">
        <v>700.45</v>
      </c>
      <c r="H845">
        <v>17511.25</v>
      </c>
      <c r="I845">
        <v>3.1</v>
      </c>
    </row>
    <row r="846" spans="1:9" x14ac:dyDescent="0.35">
      <c r="A846" t="s">
        <v>1195</v>
      </c>
      <c r="B846" t="s">
        <v>78</v>
      </c>
      <c r="C846" t="s">
        <v>11</v>
      </c>
      <c r="D846" t="s">
        <v>24</v>
      </c>
      <c r="E846" t="s">
        <v>44</v>
      </c>
      <c r="F846">
        <v>9</v>
      </c>
      <c r="G846">
        <v>1211.7</v>
      </c>
      <c r="H846">
        <v>10905.3</v>
      </c>
      <c r="I846">
        <v>4.2</v>
      </c>
    </row>
    <row r="847" spans="1:9" x14ac:dyDescent="0.35">
      <c r="A847" t="s">
        <v>1196</v>
      </c>
      <c r="B847" t="s">
        <v>717</v>
      </c>
      <c r="C847" t="s">
        <v>16</v>
      </c>
      <c r="D847" t="s">
        <v>19</v>
      </c>
      <c r="E847" t="s">
        <v>28</v>
      </c>
      <c r="F847">
        <v>7</v>
      </c>
      <c r="G847">
        <v>513.01</v>
      </c>
      <c r="H847">
        <v>3591.07</v>
      </c>
      <c r="I847">
        <v>3.8</v>
      </c>
    </row>
    <row r="848" spans="1:9" x14ac:dyDescent="0.35">
      <c r="A848" t="s">
        <v>1197</v>
      </c>
      <c r="B848" t="s">
        <v>239</v>
      </c>
      <c r="C848" t="s">
        <v>23</v>
      </c>
      <c r="D848" t="s">
        <v>19</v>
      </c>
      <c r="E848" t="s">
        <v>20</v>
      </c>
      <c r="F848">
        <v>17</v>
      </c>
      <c r="G848">
        <v>970.51</v>
      </c>
      <c r="H848">
        <v>16498.669999999998</v>
      </c>
      <c r="I848">
        <v>4.2</v>
      </c>
    </row>
    <row r="849" spans="1:9" x14ac:dyDescent="0.35">
      <c r="A849" t="s">
        <v>1198</v>
      </c>
      <c r="B849" t="s">
        <v>259</v>
      </c>
      <c r="C849" t="s">
        <v>16</v>
      </c>
      <c r="D849" t="s">
        <v>19</v>
      </c>
      <c r="E849" t="s">
        <v>28</v>
      </c>
      <c r="F849">
        <v>19</v>
      </c>
      <c r="G849">
        <v>199.95</v>
      </c>
      <c r="H849">
        <v>3799.05</v>
      </c>
      <c r="I849">
        <v>3.1</v>
      </c>
    </row>
    <row r="850" spans="1:9" x14ac:dyDescent="0.35">
      <c r="A850" t="s">
        <v>1199</v>
      </c>
      <c r="B850" t="s">
        <v>340</v>
      </c>
      <c r="C850" t="s">
        <v>38</v>
      </c>
      <c r="D850" t="s">
        <v>12</v>
      </c>
      <c r="E850" t="s">
        <v>90</v>
      </c>
      <c r="F850">
        <v>3</v>
      </c>
      <c r="G850">
        <v>701.91</v>
      </c>
      <c r="H850">
        <v>2105.73</v>
      </c>
      <c r="I850">
        <v>4.5999999999999996</v>
      </c>
    </row>
    <row r="851" spans="1:9" x14ac:dyDescent="0.35">
      <c r="A851" t="s">
        <v>1200</v>
      </c>
      <c r="B851" t="s">
        <v>262</v>
      </c>
      <c r="C851" t="s">
        <v>23</v>
      </c>
      <c r="D851" t="s">
        <v>24</v>
      </c>
      <c r="E851" t="s">
        <v>25</v>
      </c>
      <c r="F851">
        <v>20</v>
      </c>
      <c r="G851">
        <v>1274.69</v>
      </c>
      <c r="H851">
        <v>25493.8</v>
      </c>
      <c r="I851">
        <v>5</v>
      </c>
    </row>
    <row r="852" spans="1:9" x14ac:dyDescent="0.35">
      <c r="A852" t="s">
        <v>1201</v>
      </c>
      <c r="B852" t="s">
        <v>362</v>
      </c>
      <c r="C852" t="s">
        <v>11</v>
      </c>
      <c r="D852" t="s">
        <v>19</v>
      </c>
      <c r="E852" t="s">
        <v>28</v>
      </c>
      <c r="F852">
        <v>24</v>
      </c>
      <c r="G852">
        <v>581.91999999999996</v>
      </c>
      <c r="H852">
        <v>13966.08</v>
      </c>
      <c r="I852">
        <v>3.9</v>
      </c>
    </row>
    <row r="853" spans="1:9" x14ac:dyDescent="0.35">
      <c r="A853" t="s">
        <v>1202</v>
      </c>
      <c r="B853" t="s">
        <v>201</v>
      </c>
      <c r="C853" t="s">
        <v>16</v>
      </c>
      <c r="D853" t="s">
        <v>19</v>
      </c>
      <c r="E853" t="s">
        <v>31</v>
      </c>
      <c r="F853">
        <v>23</v>
      </c>
      <c r="G853">
        <v>462.55</v>
      </c>
      <c r="H853">
        <v>10638.65</v>
      </c>
      <c r="I853">
        <v>3.4</v>
      </c>
    </row>
    <row r="854" spans="1:9" x14ac:dyDescent="0.35">
      <c r="A854" t="s">
        <v>1203</v>
      </c>
      <c r="B854" t="s">
        <v>1204</v>
      </c>
      <c r="C854" t="s">
        <v>11</v>
      </c>
      <c r="D854" t="s">
        <v>24</v>
      </c>
      <c r="E854" t="s">
        <v>69</v>
      </c>
      <c r="F854">
        <v>10</v>
      </c>
      <c r="G854">
        <v>543.51</v>
      </c>
      <c r="H854">
        <v>5435.1</v>
      </c>
      <c r="I854">
        <v>4.2</v>
      </c>
    </row>
    <row r="855" spans="1:9" x14ac:dyDescent="0.35">
      <c r="A855" t="s">
        <v>1205</v>
      </c>
      <c r="B855" t="s">
        <v>635</v>
      </c>
      <c r="C855" t="s">
        <v>38</v>
      </c>
      <c r="D855" t="s">
        <v>19</v>
      </c>
      <c r="E855" t="s">
        <v>20</v>
      </c>
      <c r="F855">
        <v>10</v>
      </c>
      <c r="G855">
        <v>916.13</v>
      </c>
      <c r="H855">
        <v>9161.2999999999993</v>
      </c>
      <c r="I855">
        <v>4.2</v>
      </c>
    </row>
    <row r="856" spans="1:9" x14ac:dyDescent="0.35">
      <c r="A856" t="s">
        <v>1206</v>
      </c>
      <c r="B856" t="s">
        <v>457</v>
      </c>
      <c r="C856" t="s">
        <v>23</v>
      </c>
      <c r="D856" t="s">
        <v>12</v>
      </c>
      <c r="E856" t="s">
        <v>17</v>
      </c>
      <c r="F856">
        <v>23</v>
      </c>
      <c r="G856">
        <v>1353.98</v>
      </c>
      <c r="H856">
        <v>31141.54</v>
      </c>
      <c r="I856">
        <v>3.6</v>
      </c>
    </row>
    <row r="857" spans="1:9" x14ac:dyDescent="0.35">
      <c r="A857" t="s">
        <v>1207</v>
      </c>
      <c r="B857" t="s">
        <v>901</v>
      </c>
      <c r="C857" t="s">
        <v>16</v>
      </c>
      <c r="D857" t="s">
        <v>12</v>
      </c>
      <c r="E857" t="s">
        <v>90</v>
      </c>
      <c r="F857">
        <v>5</v>
      </c>
      <c r="G857">
        <v>98.25</v>
      </c>
      <c r="H857">
        <v>491.25</v>
      </c>
      <c r="I857">
        <v>4.0999999999999996</v>
      </c>
    </row>
    <row r="858" spans="1:9" x14ac:dyDescent="0.35">
      <c r="A858" t="s">
        <v>1208</v>
      </c>
      <c r="B858" t="s">
        <v>605</v>
      </c>
      <c r="C858" t="s">
        <v>23</v>
      </c>
      <c r="D858" t="s">
        <v>24</v>
      </c>
      <c r="E858" t="s">
        <v>25</v>
      </c>
      <c r="F858">
        <v>2</v>
      </c>
      <c r="G858">
        <v>48.38</v>
      </c>
      <c r="H858">
        <v>96.76</v>
      </c>
      <c r="I858">
        <v>4.2</v>
      </c>
    </row>
    <row r="859" spans="1:9" x14ac:dyDescent="0.35">
      <c r="A859" t="s">
        <v>1209</v>
      </c>
      <c r="B859" t="s">
        <v>457</v>
      </c>
      <c r="C859" t="s">
        <v>38</v>
      </c>
      <c r="D859" t="s">
        <v>12</v>
      </c>
      <c r="E859" t="s">
        <v>17</v>
      </c>
      <c r="F859">
        <v>12</v>
      </c>
      <c r="G859">
        <v>788.01</v>
      </c>
      <c r="H859">
        <v>9456.1200000000008</v>
      </c>
      <c r="I859">
        <v>3.3</v>
      </c>
    </row>
    <row r="860" spans="1:9" x14ac:dyDescent="0.35">
      <c r="A860" t="s">
        <v>1210</v>
      </c>
      <c r="B860" t="s">
        <v>914</v>
      </c>
      <c r="C860" t="s">
        <v>23</v>
      </c>
      <c r="D860" t="s">
        <v>24</v>
      </c>
      <c r="E860" t="s">
        <v>44</v>
      </c>
      <c r="F860">
        <v>21</v>
      </c>
      <c r="G860">
        <v>960.96</v>
      </c>
      <c r="H860">
        <v>20180.16</v>
      </c>
      <c r="I860">
        <v>4.3</v>
      </c>
    </row>
    <row r="861" spans="1:9" x14ac:dyDescent="0.35">
      <c r="A861" t="s">
        <v>1211</v>
      </c>
      <c r="B861" t="s">
        <v>349</v>
      </c>
      <c r="C861" t="s">
        <v>23</v>
      </c>
      <c r="D861" t="s">
        <v>24</v>
      </c>
      <c r="E861" t="s">
        <v>25</v>
      </c>
      <c r="F861">
        <v>3</v>
      </c>
      <c r="G861">
        <v>1167.74</v>
      </c>
      <c r="H861">
        <v>3503.22</v>
      </c>
      <c r="I861">
        <v>4.7</v>
      </c>
    </row>
    <row r="862" spans="1:9" x14ac:dyDescent="0.35">
      <c r="A862" t="s">
        <v>1212</v>
      </c>
      <c r="B862" t="s">
        <v>76</v>
      </c>
      <c r="C862" t="s">
        <v>23</v>
      </c>
      <c r="D862" t="s">
        <v>24</v>
      </c>
      <c r="E862" t="s">
        <v>44</v>
      </c>
      <c r="F862">
        <v>24</v>
      </c>
      <c r="G862">
        <v>1049.6099999999999</v>
      </c>
      <c r="H862">
        <v>25190.639999999999</v>
      </c>
      <c r="I862">
        <v>3.6</v>
      </c>
    </row>
    <row r="863" spans="1:9" x14ac:dyDescent="0.35">
      <c r="A863" t="s">
        <v>1213</v>
      </c>
      <c r="B863" t="s">
        <v>717</v>
      </c>
      <c r="C863" t="s">
        <v>11</v>
      </c>
      <c r="D863" t="s">
        <v>19</v>
      </c>
      <c r="E863" t="s">
        <v>20</v>
      </c>
      <c r="F863">
        <v>15</v>
      </c>
      <c r="G863">
        <v>885.46</v>
      </c>
      <c r="H863">
        <v>13281.9</v>
      </c>
      <c r="I863">
        <v>4.0999999999999996</v>
      </c>
    </row>
    <row r="864" spans="1:9" x14ac:dyDescent="0.35">
      <c r="A864" t="s">
        <v>1214</v>
      </c>
      <c r="B864" t="s">
        <v>484</v>
      </c>
      <c r="C864" t="s">
        <v>11</v>
      </c>
      <c r="D864" t="s">
        <v>24</v>
      </c>
      <c r="E864" t="s">
        <v>25</v>
      </c>
      <c r="F864">
        <v>6</v>
      </c>
      <c r="G864">
        <v>352.54</v>
      </c>
      <c r="H864">
        <v>2115.2399999999998</v>
      </c>
      <c r="I864">
        <v>3.7</v>
      </c>
    </row>
    <row r="865" spans="1:9" x14ac:dyDescent="0.35">
      <c r="A865" t="s">
        <v>1215</v>
      </c>
      <c r="B865" t="s">
        <v>447</v>
      </c>
      <c r="C865" t="s">
        <v>38</v>
      </c>
      <c r="D865" t="s">
        <v>19</v>
      </c>
      <c r="E865" t="s">
        <v>20</v>
      </c>
      <c r="F865">
        <v>7</v>
      </c>
      <c r="G865">
        <v>80.239999999999995</v>
      </c>
      <c r="H865">
        <v>561.67999999999995</v>
      </c>
      <c r="I865">
        <v>4.8</v>
      </c>
    </row>
    <row r="866" spans="1:9" x14ac:dyDescent="0.35">
      <c r="A866" t="s">
        <v>1216</v>
      </c>
      <c r="B866" t="s">
        <v>233</v>
      </c>
      <c r="C866" t="s">
        <v>38</v>
      </c>
      <c r="D866" t="s">
        <v>24</v>
      </c>
      <c r="E866" t="s">
        <v>69</v>
      </c>
      <c r="F866">
        <v>18</v>
      </c>
      <c r="G866">
        <v>716</v>
      </c>
      <c r="H866">
        <v>12888</v>
      </c>
      <c r="I866">
        <v>4.5999999999999996</v>
      </c>
    </row>
    <row r="867" spans="1:9" x14ac:dyDescent="0.35">
      <c r="A867" t="s">
        <v>1217</v>
      </c>
      <c r="B867" t="s">
        <v>96</v>
      </c>
      <c r="C867" t="s">
        <v>11</v>
      </c>
      <c r="D867" t="s">
        <v>12</v>
      </c>
      <c r="E867" t="s">
        <v>90</v>
      </c>
      <c r="F867">
        <v>18</v>
      </c>
      <c r="G867">
        <v>1110.5999999999999</v>
      </c>
      <c r="H867">
        <v>19990.8</v>
      </c>
      <c r="I867">
        <v>3.1</v>
      </c>
    </row>
    <row r="868" spans="1:9" x14ac:dyDescent="0.35">
      <c r="A868" t="s">
        <v>1218</v>
      </c>
      <c r="B868" t="s">
        <v>151</v>
      </c>
      <c r="C868" t="s">
        <v>38</v>
      </c>
      <c r="D868" t="s">
        <v>24</v>
      </c>
      <c r="E868" t="s">
        <v>44</v>
      </c>
      <c r="F868">
        <v>12</v>
      </c>
      <c r="G868">
        <v>494.75</v>
      </c>
      <c r="H868">
        <v>5937</v>
      </c>
      <c r="I868">
        <v>3.7</v>
      </c>
    </row>
    <row r="869" spans="1:9" x14ac:dyDescent="0.35">
      <c r="A869" t="s">
        <v>1219</v>
      </c>
      <c r="B869" t="s">
        <v>462</v>
      </c>
      <c r="C869" t="s">
        <v>23</v>
      </c>
      <c r="D869" t="s">
        <v>24</v>
      </c>
      <c r="E869" t="s">
        <v>25</v>
      </c>
      <c r="F869">
        <v>17</v>
      </c>
      <c r="G869">
        <v>720.23</v>
      </c>
      <c r="H869">
        <v>12243.91</v>
      </c>
      <c r="I869">
        <v>4.4000000000000004</v>
      </c>
    </row>
    <row r="870" spans="1:9" x14ac:dyDescent="0.35">
      <c r="A870" t="s">
        <v>1220</v>
      </c>
      <c r="B870" t="s">
        <v>109</v>
      </c>
      <c r="C870" t="s">
        <v>11</v>
      </c>
      <c r="D870" t="s">
        <v>24</v>
      </c>
      <c r="E870" t="s">
        <v>25</v>
      </c>
      <c r="F870">
        <v>11</v>
      </c>
      <c r="G870">
        <v>936.61</v>
      </c>
      <c r="H870">
        <v>10302.709999999999</v>
      </c>
      <c r="I870">
        <v>3.4</v>
      </c>
    </row>
    <row r="871" spans="1:9" x14ac:dyDescent="0.35">
      <c r="A871" t="s">
        <v>1221</v>
      </c>
      <c r="B871" t="s">
        <v>639</v>
      </c>
      <c r="C871" t="s">
        <v>23</v>
      </c>
      <c r="D871" t="s">
        <v>19</v>
      </c>
      <c r="E871" t="s">
        <v>20</v>
      </c>
      <c r="F871">
        <v>10</v>
      </c>
      <c r="G871">
        <v>1267.6500000000001</v>
      </c>
      <c r="H871">
        <v>12676.5</v>
      </c>
      <c r="I871">
        <v>3.1</v>
      </c>
    </row>
    <row r="872" spans="1:9" x14ac:dyDescent="0.35">
      <c r="A872" t="s">
        <v>1222</v>
      </c>
      <c r="B872" t="s">
        <v>159</v>
      </c>
      <c r="C872" t="s">
        <v>38</v>
      </c>
      <c r="D872" t="s">
        <v>12</v>
      </c>
      <c r="E872" t="s">
        <v>17</v>
      </c>
      <c r="F872">
        <v>16</v>
      </c>
      <c r="G872">
        <v>109.03</v>
      </c>
      <c r="H872">
        <v>1744.48</v>
      </c>
      <c r="I872">
        <v>4.5</v>
      </c>
    </row>
    <row r="873" spans="1:9" x14ac:dyDescent="0.35">
      <c r="A873" t="s">
        <v>1223</v>
      </c>
      <c r="B873" t="s">
        <v>1224</v>
      </c>
      <c r="C873" t="s">
        <v>11</v>
      </c>
      <c r="D873" t="s">
        <v>12</v>
      </c>
      <c r="E873" t="s">
        <v>17</v>
      </c>
      <c r="F873">
        <v>9</v>
      </c>
      <c r="G873">
        <v>901.94</v>
      </c>
      <c r="H873">
        <v>8117.46</v>
      </c>
      <c r="I873">
        <v>5</v>
      </c>
    </row>
    <row r="874" spans="1:9" x14ac:dyDescent="0.35">
      <c r="A874" t="s">
        <v>1225</v>
      </c>
      <c r="B874" t="s">
        <v>719</v>
      </c>
      <c r="C874" t="s">
        <v>11</v>
      </c>
      <c r="D874" t="s">
        <v>24</v>
      </c>
      <c r="E874" t="s">
        <v>44</v>
      </c>
      <c r="F874">
        <v>19</v>
      </c>
      <c r="G874">
        <v>569.39</v>
      </c>
      <c r="H874">
        <v>10818.41</v>
      </c>
      <c r="I874">
        <v>4.2</v>
      </c>
    </row>
    <row r="875" spans="1:9" x14ac:dyDescent="0.35">
      <c r="A875" t="s">
        <v>1226</v>
      </c>
      <c r="B875" t="s">
        <v>540</v>
      </c>
      <c r="C875" t="s">
        <v>11</v>
      </c>
      <c r="D875" t="s">
        <v>24</v>
      </c>
      <c r="E875" t="s">
        <v>69</v>
      </c>
      <c r="F875">
        <v>1</v>
      </c>
      <c r="G875">
        <v>1087.23</v>
      </c>
      <c r="H875">
        <v>1087.23</v>
      </c>
      <c r="I875">
        <v>3.4</v>
      </c>
    </row>
    <row r="876" spans="1:9" x14ac:dyDescent="0.35">
      <c r="A876" t="s">
        <v>1227</v>
      </c>
      <c r="B876" t="s">
        <v>443</v>
      </c>
      <c r="C876" t="s">
        <v>38</v>
      </c>
      <c r="D876" t="s">
        <v>19</v>
      </c>
      <c r="E876" t="s">
        <v>20</v>
      </c>
      <c r="F876">
        <v>10</v>
      </c>
      <c r="G876">
        <v>302</v>
      </c>
      <c r="H876">
        <v>3020</v>
      </c>
      <c r="I876">
        <v>3.3</v>
      </c>
    </row>
    <row r="877" spans="1:9" x14ac:dyDescent="0.35">
      <c r="A877" t="s">
        <v>1228</v>
      </c>
      <c r="B877" t="s">
        <v>543</v>
      </c>
      <c r="C877" t="s">
        <v>38</v>
      </c>
      <c r="D877" t="s">
        <v>24</v>
      </c>
      <c r="E877" t="s">
        <v>25</v>
      </c>
      <c r="F877">
        <v>14</v>
      </c>
      <c r="G877">
        <v>1188.44</v>
      </c>
      <c r="H877">
        <v>16638.16</v>
      </c>
      <c r="I877">
        <v>3</v>
      </c>
    </row>
    <row r="878" spans="1:9" x14ac:dyDescent="0.35">
      <c r="A878" t="s">
        <v>1229</v>
      </c>
      <c r="B878" t="s">
        <v>867</v>
      </c>
      <c r="C878" t="s">
        <v>38</v>
      </c>
      <c r="D878" t="s">
        <v>24</v>
      </c>
      <c r="E878" t="s">
        <v>69</v>
      </c>
      <c r="F878">
        <v>8</v>
      </c>
      <c r="G878">
        <v>78.87</v>
      </c>
      <c r="H878">
        <v>630.96</v>
      </c>
      <c r="I878">
        <v>3.9</v>
      </c>
    </row>
    <row r="879" spans="1:9" x14ac:dyDescent="0.35">
      <c r="A879" t="s">
        <v>1230</v>
      </c>
      <c r="B879" t="s">
        <v>395</v>
      </c>
      <c r="C879" t="s">
        <v>11</v>
      </c>
      <c r="D879" t="s">
        <v>24</v>
      </c>
      <c r="E879" t="s">
        <v>25</v>
      </c>
      <c r="F879">
        <v>8</v>
      </c>
      <c r="G879">
        <v>343.48</v>
      </c>
      <c r="H879">
        <v>2747.84</v>
      </c>
      <c r="I879">
        <v>4.3</v>
      </c>
    </row>
    <row r="880" spans="1:9" x14ac:dyDescent="0.35">
      <c r="A880" t="s">
        <v>1231</v>
      </c>
      <c r="B880" t="s">
        <v>381</v>
      </c>
      <c r="C880" t="s">
        <v>11</v>
      </c>
      <c r="D880" t="s">
        <v>24</v>
      </c>
      <c r="E880" t="s">
        <v>44</v>
      </c>
      <c r="F880">
        <v>23</v>
      </c>
      <c r="G880">
        <v>626.53</v>
      </c>
      <c r="H880">
        <v>14410.19</v>
      </c>
      <c r="I880">
        <v>3.3</v>
      </c>
    </row>
    <row r="881" spans="1:9" x14ac:dyDescent="0.35">
      <c r="A881" t="s">
        <v>1232</v>
      </c>
      <c r="B881" t="s">
        <v>368</v>
      </c>
      <c r="C881" t="s">
        <v>11</v>
      </c>
      <c r="D881" t="s">
        <v>19</v>
      </c>
      <c r="E881" t="s">
        <v>20</v>
      </c>
      <c r="F881">
        <v>7</v>
      </c>
      <c r="G881">
        <v>994.3</v>
      </c>
      <c r="H881">
        <v>6960.1</v>
      </c>
      <c r="I881">
        <v>3.9</v>
      </c>
    </row>
    <row r="882" spans="1:9" x14ac:dyDescent="0.35">
      <c r="A882" t="s">
        <v>1233</v>
      </c>
      <c r="B882" t="s">
        <v>308</v>
      </c>
      <c r="C882" t="s">
        <v>23</v>
      </c>
      <c r="D882" t="s">
        <v>24</v>
      </c>
      <c r="E882" t="s">
        <v>69</v>
      </c>
      <c r="F882">
        <v>24</v>
      </c>
      <c r="G882">
        <v>939.19</v>
      </c>
      <c r="H882">
        <v>22540.560000000001</v>
      </c>
      <c r="I882">
        <v>4.5999999999999996</v>
      </c>
    </row>
    <row r="883" spans="1:9" x14ac:dyDescent="0.35">
      <c r="A883" t="s">
        <v>1234</v>
      </c>
      <c r="B883" t="s">
        <v>516</v>
      </c>
      <c r="C883" t="s">
        <v>38</v>
      </c>
      <c r="D883" t="s">
        <v>12</v>
      </c>
      <c r="E883" t="s">
        <v>90</v>
      </c>
      <c r="F883">
        <v>20</v>
      </c>
      <c r="G883">
        <v>958.32</v>
      </c>
      <c r="H883">
        <v>19166.400000000001</v>
      </c>
      <c r="I883">
        <v>3.3</v>
      </c>
    </row>
    <row r="884" spans="1:9" x14ac:dyDescent="0.35">
      <c r="A884" t="s">
        <v>1235</v>
      </c>
      <c r="B884" t="s">
        <v>52</v>
      </c>
      <c r="C884" t="s">
        <v>11</v>
      </c>
      <c r="D884" t="s">
        <v>12</v>
      </c>
      <c r="E884" t="s">
        <v>13</v>
      </c>
      <c r="F884">
        <v>22</v>
      </c>
      <c r="G884">
        <v>295.37</v>
      </c>
      <c r="H884">
        <v>6498.14</v>
      </c>
      <c r="I884">
        <v>4.5</v>
      </c>
    </row>
    <row r="885" spans="1:9" x14ac:dyDescent="0.35">
      <c r="A885" t="s">
        <v>1236</v>
      </c>
      <c r="B885" t="s">
        <v>73</v>
      </c>
      <c r="C885" t="s">
        <v>38</v>
      </c>
      <c r="D885" t="s">
        <v>12</v>
      </c>
      <c r="E885" t="s">
        <v>17</v>
      </c>
      <c r="F885">
        <v>24</v>
      </c>
      <c r="G885">
        <v>548.67999999999995</v>
      </c>
      <c r="H885">
        <v>13168.32</v>
      </c>
      <c r="I885">
        <v>3.8</v>
      </c>
    </row>
    <row r="886" spans="1:9" x14ac:dyDescent="0.35">
      <c r="A886" t="s">
        <v>1237</v>
      </c>
      <c r="B886" t="s">
        <v>216</v>
      </c>
      <c r="C886" t="s">
        <v>11</v>
      </c>
      <c r="D886" t="s">
        <v>12</v>
      </c>
      <c r="E886" t="s">
        <v>90</v>
      </c>
      <c r="F886">
        <v>2</v>
      </c>
      <c r="G886">
        <v>712.44</v>
      </c>
      <c r="H886">
        <v>1424.88</v>
      </c>
      <c r="I886">
        <v>5</v>
      </c>
    </row>
    <row r="887" spans="1:9" x14ac:dyDescent="0.35">
      <c r="A887" t="s">
        <v>1238</v>
      </c>
      <c r="B887" t="s">
        <v>390</v>
      </c>
      <c r="C887" t="s">
        <v>11</v>
      </c>
      <c r="D887" t="s">
        <v>19</v>
      </c>
      <c r="E887" t="s">
        <v>28</v>
      </c>
      <c r="F887">
        <v>14</v>
      </c>
      <c r="G887">
        <v>1366.81</v>
      </c>
      <c r="H887">
        <v>19135.34</v>
      </c>
      <c r="I887">
        <v>3</v>
      </c>
    </row>
    <row r="888" spans="1:9" x14ac:dyDescent="0.35">
      <c r="A888" t="s">
        <v>1239</v>
      </c>
      <c r="B888" t="s">
        <v>122</v>
      </c>
      <c r="C888" t="s">
        <v>16</v>
      </c>
      <c r="D888" t="s">
        <v>24</v>
      </c>
      <c r="E888" t="s">
        <v>25</v>
      </c>
      <c r="F888">
        <v>3</v>
      </c>
      <c r="G888">
        <v>404.03</v>
      </c>
      <c r="H888">
        <v>1212.0899999999999</v>
      </c>
      <c r="I888">
        <v>3.9</v>
      </c>
    </row>
    <row r="889" spans="1:9" x14ac:dyDescent="0.35">
      <c r="A889" t="s">
        <v>1240</v>
      </c>
      <c r="B889" t="s">
        <v>107</v>
      </c>
      <c r="C889" t="s">
        <v>16</v>
      </c>
      <c r="D889" t="s">
        <v>19</v>
      </c>
      <c r="E889" t="s">
        <v>20</v>
      </c>
      <c r="F889">
        <v>3</v>
      </c>
      <c r="G889">
        <v>1131.5</v>
      </c>
      <c r="H889">
        <v>3394.5</v>
      </c>
      <c r="I889">
        <v>4.8</v>
      </c>
    </row>
    <row r="890" spans="1:9" x14ac:dyDescent="0.35">
      <c r="A890" t="s">
        <v>1241</v>
      </c>
      <c r="B890" t="s">
        <v>272</v>
      </c>
      <c r="C890" t="s">
        <v>23</v>
      </c>
      <c r="D890" t="s">
        <v>24</v>
      </c>
      <c r="E890" t="s">
        <v>25</v>
      </c>
      <c r="F890">
        <v>9</v>
      </c>
      <c r="G890">
        <v>714.07</v>
      </c>
      <c r="H890">
        <v>6426.63</v>
      </c>
      <c r="I890">
        <v>4.3</v>
      </c>
    </row>
    <row r="891" spans="1:9" x14ac:dyDescent="0.35">
      <c r="A891" t="s">
        <v>1242</v>
      </c>
      <c r="B891" t="s">
        <v>68</v>
      </c>
      <c r="C891" t="s">
        <v>11</v>
      </c>
      <c r="D891" t="s">
        <v>19</v>
      </c>
      <c r="E891" t="s">
        <v>31</v>
      </c>
      <c r="F891">
        <v>14</v>
      </c>
      <c r="G891">
        <v>1378.66</v>
      </c>
      <c r="H891">
        <v>19301.240000000002</v>
      </c>
      <c r="I891">
        <v>4</v>
      </c>
    </row>
    <row r="892" spans="1:9" x14ac:dyDescent="0.35">
      <c r="A892" t="s">
        <v>1243</v>
      </c>
      <c r="B892" t="s">
        <v>745</v>
      </c>
      <c r="C892" t="s">
        <v>11</v>
      </c>
      <c r="D892" t="s">
        <v>24</v>
      </c>
      <c r="E892" t="s">
        <v>44</v>
      </c>
      <c r="F892">
        <v>25</v>
      </c>
      <c r="G892">
        <v>1231.8699999999999</v>
      </c>
      <c r="H892">
        <v>30796.75</v>
      </c>
      <c r="I892">
        <v>4.3</v>
      </c>
    </row>
    <row r="893" spans="1:9" x14ac:dyDescent="0.35">
      <c r="A893" t="s">
        <v>1244</v>
      </c>
      <c r="B893" t="s">
        <v>122</v>
      </c>
      <c r="C893" t="s">
        <v>11</v>
      </c>
      <c r="D893" t="s">
        <v>19</v>
      </c>
      <c r="E893" t="s">
        <v>28</v>
      </c>
      <c r="F893">
        <v>25</v>
      </c>
      <c r="G893">
        <v>147.13999999999999</v>
      </c>
      <c r="H893">
        <v>3678.5</v>
      </c>
      <c r="I893">
        <v>4.9000000000000004</v>
      </c>
    </row>
    <row r="894" spans="1:9" x14ac:dyDescent="0.35">
      <c r="A894" t="s">
        <v>1245</v>
      </c>
      <c r="B894" t="s">
        <v>1038</v>
      </c>
      <c r="C894" t="s">
        <v>11</v>
      </c>
      <c r="D894" t="s">
        <v>12</v>
      </c>
      <c r="E894" t="s">
        <v>17</v>
      </c>
      <c r="F894">
        <v>1</v>
      </c>
      <c r="G894">
        <v>69.87</v>
      </c>
      <c r="H894">
        <v>69.87</v>
      </c>
      <c r="I894">
        <v>3.6</v>
      </c>
    </row>
    <row r="895" spans="1:9" x14ac:dyDescent="0.35">
      <c r="A895" t="s">
        <v>1246</v>
      </c>
      <c r="B895" t="s">
        <v>459</v>
      </c>
      <c r="C895" t="s">
        <v>11</v>
      </c>
      <c r="D895" t="s">
        <v>24</v>
      </c>
      <c r="E895" t="s">
        <v>25</v>
      </c>
      <c r="F895">
        <v>4</v>
      </c>
      <c r="G895">
        <v>108.99</v>
      </c>
      <c r="H895">
        <v>435.96</v>
      </c>
      <c r="I895">
        <v>3.8</v>
      </c>
    </row>
    <row r="896" spans="1:9" x14ac:dyDescent="0.35">
      <c r="A896" t="s">
        <v>1247</v>
      </c>
      <c r="B896" t="s">
        <v>631</v>
      </c>
      <c r="C896" t="s">
        <v>38</v>
      </c>
      <c r="D896" t="s">
        <v>12</v>
      </c>
      <c r="E896" t="s">
        <v>90</v>
      </c>
      <c r="F896">
        <v>13</v>
      </c>
      <c r="G896">
        <v>708.53</v>
      </c>
      <c r="H896">
        <v>9210.89</v>
      </c>
      <c r="I896">
        <v>4.4000000000000004</v>
      </c>
    </row>
    <row r="897" spans="1:9" x14ac:dyDescent="0.35">
      <c r="A897" t="s">
        <v>1248</v>
      </c>
      <c r="B897" t="s">
        <v>578</v>
      </c>
      <c r="C897" t="s">
        <v>16</v>
      </c>
      <c r="D897" t="s">
        <v>24</v>
      </c>
      <c r="E897" t="s">
        <v>25</v>
      </c>
      <c r="F897">
        <v>3</v>
      </c>
      <c r="G897">
        <v>599.82000000000005</v>
      </c>
      <c r="H897">
        <v>1799.46</v>
      </c>
      <c r="I897">
        <v>3.7</v>
      </c>
    </row>
    <row r="898" spans="1:9" x14ac:dyDescent="0.35">
      <c r="A898" t="s">
        <v>1249</v>
      </c>
      <c r="B898" t="s">
        <v>80</v>
      </c>
      <c r="C898" t="s">
        <v>11</v>
      </c>
      <c r="D898" t="s">
        <v>12</v>
      </c>
      <c r="E898" t="s">
        <v>17</v>
      </c>
      <c r="F898">
        <v>21</v>
      </c>
      <c r="G898">
        <v>836.48</v>
      </c>
      <c r="H898">
        <v>17566.080000000002</v>
      </c>
      <c r="I898">
        <v>4.4000000000000004</v>
      </c>
    </row>
    <row r="899" spans="1:9" x14ac:dyDescent="0.35">
      <c r="A899" t="s">
        <v>1250</v>
      </c>
      <c r="B899" t="s">
        <v>99</v>
      </c>
      <c r="C899" t="s">
        <v>16</v>
      </c>
      <c r="D899" t="s">
        <v>12</v>
      </c>
      <c r="E899" t="s">
        <v>90</v>
      </c>
      <c r="F899">
        <v>24</v>
      </c>
      <c r="G899">
        <v>369</v>
      </c>
      <c r="H899">
        <v>8856</v>
      </c>
      <c r="I899">
        <v>3.7</v>
      </c>
    </row>
    <row r="900" spans="1:9" x14ac:dyDescent="0.35">
      <c r="A900" t="s">
        <v>1251</v>
      </c>
      <c r="B900" t="s">
        <v>814</v>
      </c>
      <c r="C900" t="s">
        <v>16</v>
      </c>
      <c r="D900" t="s">
        <v>19</v>
      </c>
      <c r="E900" t="s">
        <v>20</v>
      </c>
      <c r="F900">
        <v>13</v>
      </c>
      <c r="G900">
        <v>119.97</v>
      </c>
      <c r="H900">
        <v>1559.61</v>
      </c>
      <c r="I900">
        <v>4.4000000000000004</v>
      </c>
    </row>
    <row r="901" spans="1:9" x14ac:dyDescent="0.35">
      <c r="A901" t="s">
        <v>1252</v>
      </c>
      <c r="B901" t="s">
        <v>235</v>
      </c>
      <c r="C901" t="s">
        <v>11</v>
      </c>
      <c r="D901" t="s">
        <v>24</v>
      </c>
      <c r="E901" t="s">
        <v>25</v>
      </c>
      <c r="F901">
        <v>20</v>
      </c>
      <c r="G901">
        <v>400.67</v>
      </c>
      <c r="H901">
        <v>8013.4</v>
      </c>
      <c r="I901">
        <v>3.2</v>
      </c>
    </row>
    <row r="902" spans="1:9" x14ac:dyDescent="0.35">
      <c r="A902" t="s">
        <v>1253</v>
      </c>
      <c r="B902" t="s">
        <v>362</v>
      </c>
      <c r="C902" t="s">
        <v>38</v>
      </c>
      <c r="D902" t="s">
        <v>24</v>
      </c>
      <c r="E902" t="s">
        <v>69</v>
      </c>
      <c r="F902">
        <v>14</v>
      </c>
      <c r="G902">
        <v>340.6</v>
      </c>
      <c r="H902">
        <v>4768.3999999999996</v>
      </c>
      <c r="I902">
        <v>3.7</v>
      </c>
    </row>
    <row r="903" spans="1:9" x14ac:dyDescent="0.35">
      <c r="A903" t="s">
        <v>1254</v>
      </c>
      <c r="B903" t="s">
        <v>252</v>
      </c>
      <c r="C903" t="s">
        <v>16</v>
      </c>
      <c r="D903" t="s">
        <v>24</v>
      </c>
      <c r="E903" t="s">
        <v>25</v>
      </c>
      <c r="F903">
        <v>13</v>
      </c>
      <c r="G903">
        <v>1016.24</v>
      </c>
      <c r="H903">
        <v>13211.12</v>
      </c>
      <c r="I903">
        <v>3.8</v>
      </c>
    </row>
    <row r="904" spans="1:9" x14ac:dyDescent="0.35">
      <c r="A904" t="s">
        <v>1255</v>
      </c>
      <c r="B904" t="s">
        <v>30</v>
      </c>
      <c r="C904" t="s">
        <v>23</v>
      </c>
      <c r="D904" t="s">
        <v>19</v>
      </c>
      <c r="E904" t="s">
        <v>28</v>
      </c>
      <c r="F904">
        <v>10</v>
      </c>
      <c r="G904">
        <v>683.34</v>
      </c>
      <c r="H904">
        <v>6833.4</v>
      </c>
      <c r="I904">
        <v>3.9</v>
      </c>
    </row>
    <row r="905" spans="1:9" x14ac:dyDescent="0.35">
      <c r="A905" t="s">
        <v>1256</v>
      </c>
      <c r="B905" t="s">
        <v>729</v>
      </c>
      <c r="C905" t="s">
        <v>11</v>
      </c>
      <c r="D905" t="s">
        <v>19</v>
      </c>
      <c r="E905" t="s">
        <v>20</v>
      </c>
      <c r="F905">
        <v>13</v>
      </c>
      <c r="G905">
        <v>246.58</v>
      </c>
      <c r="H905">
        <v>3205.54</v>
      </c>
      <c r="I905">
        <v>4.5</v>
      </c>
    </row>
    <row r="906" spans="1:9" x14ac:dyDescent="0.35">
      <c r="A906" t="s">
        <v>1257</v>
      </c>
      <c r="B906" t="s">
        <v>274</v>
      </c>
      <c r="C906" t="s">
        <v>38</v>
      </c>
      <c r="D906" t="s">
        <v>12</v>
      </c>
      <c r="E906" t="s">
        <v>17</v>
      </c>
      <c r="F906">
        <v>21</v>
      </c>
      <c r="G906">
        <v>638.75</v>
      </c>
      <c r="H906">
        <v>13413.75</v>
      </c>
      <c r="I906">
        <v>4.5999999999999996</v>
      </c>
    </row>
    <row r="907" spans="1:9" x14ac:dyDescent="0.35">
      <c r="A907" t="s">
        <v>1258</v>
      </c>
      <c r="B907" t="s">
        <v>496</v>
      </c>
      <c r="C907" t="s">
        <v>11</v>
      </c>
      <c r="D907" t="s">
        <v>12</v>
      </c>
      <c r="E907" t="s">
        <v>90</v>
      </c>
      <c r="F907">
        <v>19</v>
      </c>
      <c r="G907">
        <v>285.44</v>
      </c>
      <c r="H907">
        <v>5423.36</v>
      </c>
      <c r="I907">
        <v>3.7</v>
      </c>
    </row>
    <row r="908" spans="1:9" x14ac:dyDescent="0.35">
      <c r="A908" t="s">
        <v>1259</v>
      </c>
      <c r="B908" t="s">
        <v>233</v>
      </c>
      <c r="C908" t="s">
        <v>38</v>
      </c>
      <c r="D908" t="s">
        <v>19</v>
      </c>
      <c r="E908" t="s">
        <v>20</v>
      </c>
      <c r="F908">
        <v>9</v>
      </c>
      <c r="G908">
        <v>958.71</v>
      </c>
      <c r="H908">
        <v>8628.39</v>
      </c>
      <c r="I908">
        <v>4.9000000000000004</v>
      </c>
    </row>
    <row r="909" spans="1:9" x14ac:dyDescent="0.35">
      <c r="A909" t="s">
        <v>1260</v>
      </c>
      <c r="B909" t="s">
        <v>441</v>
      </c>
      <c r="C909" t="s">
        <v>38</v>
      </c>
      <c r="D909" t="s">
        <v>12</v>
      </c>
      <c r="E909" t="s">
        <v>13</v>
      </c>
      <c r="F909">
        <v>5</v>
      </c>
      <c r="G909">
        <v>698.45</v>
      </c>
      <c r="H909">
        <v>3492.25</v>
      </c>
      <c r="I909">
        <v>4.4000000000000004</v>
      </c>
    </row>
    <row r="910" spans="1:9" x14ac:dyDescent="0.35">
      <c r="A910" t="s">
        <v>1261</v>
      </c>
      <c r="B910" t="s">
        <v>50</v>
      </c>
      <c r="C910" t="s">
        <v>16</v>
      </c>
      <c r="D910" t="s">
        <v>19</v>
      </c>
      <c r="E910" t="s">
        <v>31</v>
      </c>
      <c r="F910">
        <v>11</v>
      </c>
      <c r="G910">
        <v>825.34</v>
      </c>
      <c r="H910">
        <v>9078.74</v>
      </c>
      <c r="I910">
        <v>3.2</v>
      </c>
    </row>
    <row r="911" spans="1:9" x14ac:dyDescent="0.35">
      <c r="A911" t="s">
        <v>1262</v>
      </c>
      <c r="B911" t="s">
        <v>1263</v>
      </c>
      <c r="C911" t="s">
        <v>38</v>
      </c>
      <c r="D911" t="s">
        <v>19</v>
      </c>
      <c r="E911" t="s">
        <v>31</v>
      </c>
      <c r="F911">
        <v>21</v>
      </c>
      <c r="G911">
        <v>8.43</v>
      </c>
      <c r="H911">
        <v>177.03</v>
      </c>
      <c r="I911">
        <v>4.8</v>
      </c>
    </row>
    <row r="912" spans="1:9" x14ac:dyDescent="0.35">
      <c r="A912" t="s">
        <v>1264</v>
      </c>
      <c r="B912" t="s">
        <v>1265</v>
      </c>
      <c r="C912" t="s">
        <v>11</v>
      </c>
      <c r="D912" t="s">
        <v>24</v>
      </c>
      <c r="E912" t="s">
        <v>44</v>
      </c>
      <c r="F912">
        <v>18</v>
      </c>
      <c r="G912">
        <v>835.32</v>
      </c>
      <c r="H912">
        <v>15035.76</v>
      </c>
      <c r="I912">
        <v>4.2</v>
      </c>
    </row>
    <row r="913" spans="1:9" x14ac:dyDescent="0.35">
      <c r="A913" t="s">
        <v>1266</v>
      </c>
      <c r="B913" t="s">
        <v>272</v>
      </c>
      <c r="C913" t="s">
        <v>11</v>
      </c>
      <c r="D913" t="s">
        <v>24</v>
      </c>
      <c r="E913" t="s">
        <v>44</v>
      </c>
      <c r="F913">
        <v>6</v>
      </c>
      <c r="G913">
        <v>941.65</v>
      </c>
      <c r="H913">
        <v>5649.9</v>
      </c>
      <c r="I913">
        <v>3.8</v>
      </c>
    </row>
    <row r="914" spans="1:9" x14ac:dyDescent="0.35">
      <c r="A914" t="s">
        <v>1267</v>
      </c>
      <c r="B914" t="s">
        <v>565</v>
      </c>
      <c r="C914" t="s">
        <v>16</v>
      </c>
      <c r="D914" t="s">
        <v>24</v>
      </c>
      <c r="E914" t="s">
        <v>25</v>
      </c>
      <c r="F914">
        <v>5</v>
      </c>
      <c r="G914">
        <v>935.58</v>
      </c>
      <c r="H914">
        <v>4677.8999999999996</v>
      </c>
      <c r="I914">
        <v>3.9</v>
      </c>
    </row>
    <row r="915" spans="1:9" x14ac:dyDescent="0.35">
      <c r="A915" t="s">
        <v>1268</v>
      </c>
      <c r="B915" t="s">
        <v>540</v>
      </c>
      <c r="C915" t="s">
        <v>23</v>
      </c>
      <c r="D915" t="s">
        <v>12</v>
      </c>
      <c r="E915" t="s">
        <v>17</v>
      </c>
      <c r="F915">
        <v>7</v>
      </c>
      <c r="G915">
        <v>1139.02</v>
      </c>
      <c r="H915">
        <v>7973.14</v>
      </c>
      <c r="I915">
        <v>4.8</v>
      </c>
    </row>
    <row r="916" spans="1:9" x14ac:dyDescent="0.35">
      <c r="A916" t="s">
        <v>1269</v>
      </c>
      <c r="B916" t="s">
        <v>964</v>
      </c>
      <c r="C916" t="s">
        <v>38</v>
      </c>
      <c r="D916" t="s">
        <v>19</v>
      </c>
      <c r="E916" t="s">
        <v>31</v>
      </c>
      <c r="F916">
        <v>18</v>
      </c>
      <c r="G916">
        <v>1222.04</v>
      </c>
      <c r="H916">
        <v>21996.720000000001</v>
      </c>
      <c r="I916">
        <v>3.1</v>
      </c>
    </row>
    <row r="917" spans="1:9" x14ac:dyDescent="0.35">
      <c r="A917" t="s">
        <v>1270</v>
      </c>
      <c r="B917" t="s">
        <v>169</v>
      </c>
      <c r="C917" t="s">
        <v>38</v>
      </c>
      <c r="D917" t="s">
        <v>24</v>
      </c>
      <c r="E917" t="s">
        <v>25</v>
      </c>
      <c r="F917">
        <v>10</v>
      </c>
      <c r="G917">
        <v>1268.69</v>
      </c>
      <c r="H917">
        <v>12686.9</v>
      </c>
      <c r="I917">
        <v>4.0999999999999996</v>
      </c>
    </row>
    <row r="918" spans="1:9" x14ac:dyDescent="0.35">
      <c r="A918" t="s">
        <v>1271</v>
      </c>
      <c r="B918" t="s">
        <v>477</v>
      </c>
      <c r="C918" t="s">
        <v>23</v>
      </c>
      <c r="D918" t="s">
        <v>24</v>
      </c>
      <c r="E918" t="s">
        <v>25</v>
      </c>
      <c r="F918">
        <v>4</v>
      </c>
      <c r="G918">
        <v>250.37</v>
      </c>
      <c r="H918">
        <v>1001.48</v>
      </c>
      <c r="I918">
        <v>5</v>
      </c>
    </row>
    <row r="919" spans="1:9" x14ac:dyDescent="0.35">
      <c r="A919" t="s">
        <v>1272</v>
      </c>
      <c r="B919" t="s">
        <v>628</v>
      </c>
      <c r="C919" t="s">
        <v>23</v>
      </c>
      <c r="D919" t="s">
        <v>12</v>
      </c>
      <c r="E919" t="s">
        <v>17</v>
      </c>
      <c r="F919">
        <v>3</v>
      </c>
      <c r="G919">
        <v>224.53</v>
      </c>
      <c r="H919">
        <v>673.59</v>
      </c>
      <c r="I919">
        <v>3.8</v>
      </c>
    </row>
    <row r="920" spans="1:9" x14ac:dyDescent="0.35">
      <c r="A920" t="s">
        <v>1273</v>
      </c>
      <c r="B920" t="s">
        <v>225</v>
      </c>
      <c r="C920" t="s">
        <v>23</v>
      </c>
      <c r="D920" t="s">
        <v>24</v>
      </c>
      <c r="E920" t="s">
        <v>44</v>
      </c>
      <c r="F920">
        <v>12</v>
      </c>
      <c r="G920">
        <v>930.99</v>
      </c>
      <c r="H920">
        <v>11171.88</v>
      </c>
      <c r="I920">
        <v>3.1</v>
      </c>
    </row>
    <row r="921" spans="1:9" x14ac:dyDescent="0.35">
      <c r="A921" t="s">
        <v>1274</v>
      </c>
      <c r="B921" t="s">
        <v>66</v>
      </c>
      <c r="C921" t="s">
        <v>38</v>
      </c>
      <c r="D921" t="s">
        <v>19</v>
      </c>
      <c r="E921" t="s">
        <v>20</v>
      </c>
      <c r="F921">
        <v>15</v>
      </c>
      <c r="G921">
        <v>235.77</v>
      </c>
      <c r="H921">
        <v>3536.55</v>
      </c>
      <c r="I921">
        <v>3</v>
      </c>
    </row>
    <row r="922" spans="1:9" x14ac:dyDescent="0.35">
      <c r="A922" t="s">
        <v>1275</v>
      </c>
      <c r="B922" t="s">
        <v>281</v>
      </c>
      <c r="C922" t="s">
        <v>16</v>
      </c>
      <c r="D922" t="s">
        <v>12</v>
      </c>
      <c r="E922" t="s">
        <v>17</v>
      </c>
      <c r="F922">
        <v>14</v>
      </c>
      <c r="G922">
        <v>1036.19</v>
      </c>
      <c r="H922">
        <v>14506.66</v>
      </c>
      <c r="I922">
        <v>4.2</v>
      </c>
    </row>
    <row r="923" spans="1:9" x14ac:dyDescent="0.35">
      <c r="A923" t="s">
        <v>1276</v>
      </c>
      <c r="B923" t="s">
        <v>142</v>
      </c>
      <c r="C923" t="s">
        <v>38</v>
      </c>
      <c r="D923" t="s">
        <v>24</v>
      </c>
      <c r="E923" t="s">
        <v>25</v>
      </c>
      <c r="F923">
        <v>10</v>
      </c>
      <c r="G923">
        <v>895.16</v>
      </c>
      <c r="H923">
        <v>8951.6</v>
      </c>
      <c r="I923">
        <v>4.2</v>
      </c>
    </row>
    <row r="924" spans="1:9" x14ac:dyDescent="0.35">
      <c r="A924" t="s">
        <v>1277</v>
      </c>
      <c r="B924" t="s">
        <v>1029</v>
      </c>
      <c r="C924" t="s">
        <v>23</v>
      </c>
      <c r="D924" t="s">
        <v>24</v>
      </c>
      <c r="E924" t="s">
        <v>69</v>
      </c>
      <c r="F924">
        <v>21</v>
      </c>
      <c r="G924">
        <v>423.44</v>
      </c>
      <c r="H924">
        <v>8892.24</v>
      </c>
      <c r="I924">
        <v>4.0999999999999996</v>
      </c>
    </row>
    <row r="925" spans="1:9" x14ac:dyDescent="0.35">
      <c r="A925" t="s">
        <v>1278</v>
      </c>
      <c r="B925" t="s">
        <v>581</v>
      </c>
      <c r="C925" t="s">
        <v>11</v>
      </c>
      <c r="D925" t="s">
        <v>24</v>
      </c>
      <c r="E925" t="s">
        <v>69</v>
      </c>
      <c r="F925">
        <v>5</v>
      </c>
      <c r="G925">
        <v>1314.84</v>
      </c>
      <c r="H925">
        <v>6574.2</v>
      </c>
      <c r="I925">
        <v>4.0999999999999996</v>
      </c>
    </row>
    <row r="926" spans="1:9" x14ac:dyDescent="0.35">
      <c r="A926" t="s">
        <v>1279</v>
      </c>
      <c r="B926" t="s">
        <v>1110</v>
      </c>
      <c r="C926" t="s">
        <v>38</v>
      </c>
      <c r="D926" t="s">
        <v>19</v>
      </c>
      <c r="E926" t="s">
        <v>20</v>
      </c>
      <c r="F926">
        <v>14</v>
      </c>
      <c r="G926">
        <v>1489.65</v>
      </c>
      <c r="H926">
        <v>20855.099999999999</v>
      </c>
      <c r="I926">
        <v>3.9</v>
      </c>
    </row>
    <row r="927" spans="1:9" x14ac:dyDescent="0.35">
      <c r="A927" t="s">
        <v>1280</v>
      </c>
      <c r="B927" t="s">
        <v>699</v>
      </c>
      <c r="C927" t="s">
        <v>16</v>
      </c>
      <c r="D927" t="s">
        <v>24</v>
      </c>
      <c r="E927" t="s">
        <v>25</v>
      </c>
      <c r="F927">
        <v>24</v>
      </c>
      <c r="G927">
        <v>258.89</v>
      </c>
      <c r="H927">
        <v>6213.36</v>
      </c>
      <c r="I927">
        <v>4.2</v>
      </c>
    </row>
    <row r="928" spans="1:9" x14ac:dyDescent="0.35">
      <c r="A928" t="s">
        <v>1281</v>
      </c>
      <c r="B928" t="s">
        <v>430</v>
      </c>
      <c r="C928" t="s">
        <v>38</v>
      </c>
      <c r="D928" t="s">
        <v>12</v>
      </c>
      <c r="E928" t="s">
        <v>90</v>
      </c>
      <c r="F928">
        <v>12</v>
      </c>
      <c r="G928">
        <v>778.83</v>
      </c>
      <c r="H928">
        <v>9345.9599999999991</v>
      </c>
      <c r="I928">
        <v>4.7</v>
      </c>
    </row>
    <row r="929" spans="1:9" x14ac:dyDescent="0.35">
      <c r="A929" t="s">
        <v>1282</v>
      </c>
      <c r="B929" t="s">
        <v>641</v>
      </c>
      <c r="C929" t="s">
        <v>11</v>
      </c>
      <c r="D929" t="s">
        <v>19</v>
      </c>
      <c r="E929" t="s">
        <v>31</v>
      </c>
      <c r="F929">
        <v>13</v>
      </c>
      <c r="G929">
        <v>1427.72</v>
      </c>
      <c r="H929">
        <v>18560.36</v>
      </c>
      <c r="I929">
        <v>4</v>
      </c>
    </row>
    <row r="930" spans="1:9" x14ac:dyDescent="0.35">
      <c r="A930" t="s">
        <v>1283</v>
      </c>
      <c r="B930" t="s">
        <v>1284</v>
      </c>
      <c r="C930" t="s">
        <v>23</v>
      </c>
      <c r="D930" t="s">
        <v>12</v>
      </c>
      <c r="E930" t="s">
        <v>90</v>
      </c>
      <c r="F930">
        <v>17</v>
      </c>
      <c r="G930">
        <v>644.41999999999996</v>
      </c>
      <c r="H930">
        <v>10955.14</v>
      </c>
      <c r="I930">
        <v>3.8</v>
      </c>
    </row>
    <row r="931" spans="1:9" x14ac:dyDescent="0.35">
      <c r="A931" t="s">
        <v>1285</v>
      </c>
      <c r="B931" t="s">
        <v>155</v>
      </c>
      <c r="C931" t="s">
        <v>23</v>
      </c>
      <c r="D931" t="s">
        <v>12</v>
      </c>
      <c r="E931" t="s">
        <v>13</v>
      </c>
      <c r="F931">
        <v>15</v>
      </c>
      <c r="G931">
        <v>925.08</v>
      </c>
      <c r="H931">
        <v>13876.2</v>
      </c>
      <c r="I931">
        <v>4.4000000000000004</v>
      </c>
    </row>
    <row r="932" spans="1:9" x14ac:dyDescent="0.35">
      <c r="A932" t="s">
        <v>1286</v>
      </c>
      <c r="B932" t="s">
        <v>281</v>
      </c>
      <c r="C932" t="s">
        <v>16</v>
      </c>
      <c r="D932" t="s">
        <v>19</v>
      </c>
      <c r="E932" t="s">
        <v>28</v>
      </c>
      <c r="F932">
        <v>8</v>
      </c>
      <c r="G932">
        <v>1325.25</v>
      </c>
      <c r="H932">
        <v>10602</v>
      </c>
      <c r="I932">
        <v>3.6</v>
      </c>
    </row>
    <row r="933" spans="1:9" x14ac:dyDescent="0.35">
      <c r="A933" t="s">
        <v>1287</v>
      </c>
      <c r="B933" t="s">
        <v>410</v>
      </c>
      <c r="C933" t="s">
        <v>23</v>
      </c>
      <c r="D933" t="s">
        <v>24</v>
      </c>
      <c r="E933" t="s">
        <v>69</v>
      </c>
      <c r="F933">
        <v>14</v>
      </c>
      <c r="G933">
        <v>250.11</v>
      </c>
      <c r="H933">
        <v>3501.54</v>
      </c>
      <c r="I933">
        <v>3.6</v>
      </c>
    </row>
    <row r="934" spans="1:9" x14ac:dyDescent="0.35">
      <c r="A934" t="s">
        <v>1288</v>
      </c>
      <c r="B934" t="s">
        <v>99</v>
      </c>
      <c r="C934" t="s">
        <v>16</v>
      </c>
      <c r="D934" t="s">
        <v>24</v>
      </c>
      <c r="E934" t="s">
        <v>25</v>
      </c>
      <c r="F934">
        <v>14</v>
      </c>
      <c r="G934">
        <v>970.1</v>
      </c>
      <c r="H934">
        <v>13581.4</v>
      </c>
      <c r="I934">
        <v>3.7</v>
      </c>
    </row>
    <row r="935" spans="1:9" x14ac:dyDescent="0.35">
      <c r="A935" t="s">
        <v>1289</v>
      </c>
      <c r="B935" t="s">
        <v>717</v>
      </c>
      <c r="C935" t="s">
        <v>23</v>
      </c>
      <c r="D935" t="s">
        <v>19</v>
      </c>
      <c r="E935" t="s">
        <v>31</v>
      </c>
      <c r="F935">
        <v>5</v>
      </c>
      <c r="G935">
        <v>591.5</v>
      </c>
      <c r="H935">
        <v>2957.5</v>
      </c>
      <c r="I935">
        <v>3.8</v>
      </c>
    </row>
    <row r="936" spans="1:9" x14ac:dyDescent="0.35">
      <c r="A936" t="s">
        <v>1290</v>
      </c>
      <c r="B936" t="s">
        <v>877</v>
      </c>
      <c r="C936" t="s">
        <v>16</v>
      </c>
      <c r="D936" t="s">
        <v>12</v>
      </c>
      <c r="E936" t="s">
        <v>17</v>
      </c>
      <c r="F936">
        <v>6</v>
      </c>
      <c r="G936">
        <v>1403.69</v>
      </c>
      <c r="H936">
        <v>8422.14</v>
      </c>
      <c r="I936">
        <v>4.0999999999999996</v>
      </c>
    </row>
    <row r="937" spans="1:9" x14ac:dyDescent="0.35">
      <c r="A937" t="s">
        <v>1291</v>
      </c>
      <c r="B937" t="s">
        <v>740</v>
      </c>
      <c r="C937" t="s">
        <v>16</v>
      </c>
      <c r="D937" t="s">
        <v>12</v>
      </c>
      <c r="E937" t="s">
        <v>17</v>
      </c>
      <c r="F937">
        <v>22</v>
      </c>
      <c r="G937">
        <v>917.66</v>
      </c>
      <c r="H937">
        <v>20188.52</v>
      </c>
      <c r="I937">
        <v>4.8</v>
      </c>
    </row>
    <row r="938" spans="1:9" x14ac:dyDescent="0.35">
      <c r="A938" t="s">
        <v>1292</v>
      </c>
      <c r="B938" t="s">
        <v>1293</v>
      </c>
      <c r="C938" t="s">
        <v>38</v>
      </c>
      <c r="D938" t="s">
        <v>19</v>
      </c>
      <c r="E938" t="s">
        <v>31</v>
      </c>
      <c r="F938">
        <v>12</v>
      </c>
      <c r="G938">
        <v>1266.5999999999999</v>
      </c>
      <c r="H938">
        <v>15199.2</v>
      </c>
      <c r="I938">
        <v>4.0999999999999996</v>
      </c>
    </row>
    <row r="939" spans="1:9" x14ac:dyDescent="0.35">
      <c r="A939" t="s">
        <v>1294</v>
      </c>
      <c r="B939" t="s">
        <v>434</v>
      </c>
      <c r="C939" t="s">
        <v>23</v>
      </c>
      <c r="D939" t="s">
        <v>24</v>
      </c>
      <c r="E939" t="s">
        <v>69</v>
      </c>
      <c r="F939">
        <v>1</v>
      </c>
      <c r="G939">
        <v>18.48</v>
      </c>
      <c r="H939">
        <v>18.48</v>
      </c>
      <c r="I939">
        <v>4</v>
      </c>
    </row>
    <row r="940" spans="1:9" x14ac:dyDescent="0.35">
      <c r="A940" t="s">
        <v>1295</v>
      </c>
      <c r="B940" t="s">
        <v>413</v>
      </c>
      <c r="C940" t="s">
        <v>16</v>
      </c>
      <c r="D940" t="s">
        <v>12</v>
      </c>
      <c r="E940" t="s">
        <v>13</v>
      </c>
      <c r="F940">
        <v>12</v>
      </c>
      <c r="G940">
        <v>61.31</v>
      </c>
      <c r="H940">
        <v>735.72</v>
      </c>
      <c r="I940">
        <v>3.2</v>
      </c>
    </row>
    <row r="941" spans="1:9" x14ac:dyDescent="0.35">
      <c r="A941" t="s">
        <v>1296</v>
      </c>
      <c r="B941" t="s">
        <v>259</v>
      </c>
      <c r="C941" t="s">
        <v>16</v>
      </c>
      <c r="D941" t="s">
        <v>24</v>
      </c>
      <c r="E941" t="s">
        <v>25</v>
      </c>
      <c r="F941">
        <v>4</v>
      </c>
      <c r="G941">
        <v>157.47</v>
      </c>
      <c r="H941">
        <v>629.88</v>
      </c>
      <c r="I941">
        <v>4.8</v>
      </c>
    </row>
    <row r="942" spans="1:9" x14ac:dyDescent="0.35">
      <c r="A942" t="s">
        <v>1297</v>
      </c>
      <c r="B942" t="s">
        <v>1137</v>
      </c>
      <c r="C942" t="s">
        <v>11</v>
      </c>
      <c r="D942" t="s">
        <v>19</v>
      </c>
      <c r="E942" t="s">
        <v>31</v>
      </c>
      <c r="F942">
        <v>16</v>
      </c>
      <c r="G942">
        <v>521.71</v>
      </c>
      <c r="H942">
        <v>8347.36</v>
      </c>
      <c r="I942">
        <v>3.5</v>
      </c>
    </row>
    <row r="943" spans="1:9" x14ac:dyDescent="0.35">
      <c r="A943" t="s">
        <v>1298</v>
      </c>
      <c r="B943" t="s">
        <v>438</v>
      </c>
      <c r="C943" t="s">
        <v>23</v>
      </c>
      <c r="D943" t="s">
        <v>19</v>
      </c>
      <c r="E943" t="s">
        <v>20</v>
      </c>
      <c r="F943">
        <v>12</v>
      </c>
      <c r="G943">
        <v>363.19</v>
      </c>
      <c r="H943">
        <v>4358.28</v>
      </c>
      <c r="I943">
        <v>4</v>
      </c>
    </row>
    <row r="944" spans="1:9" x14ac:dyDescent="0.35">
      <c r="A944" t="s">
        <v>1299</v>
      </c>
      <c r="B944" t="s">
        <v>297</v>
      </c>
      <c r="C944" t="s">
        <v>11</v>
      </c>
      <c r="D944" t="s">
        <v>12</v>
      </c>
      <c r="E944" t="s">
        <v>13</v>
      </c>
      <c r="F944">
        <v>5</v>
      </c>
      <c r="G944">
        <v>796.37</v>
      </c>
      <c r="H944">
        <v>3981.85</v>
      </c>
      <c r="I944">
        <v>4.9000000000000004</v>
      </c>
    </row>
    <row r="945" spans="1:9" x14ac:dyDescent="0.35">
      <c r="A945" t="s">
        <v>1300</v>
      </c>
      <c r="B945" t="s">
        <v>78</v>
      </c>
      <c r="C945" t="s">
        <v>11</v>
      </c>
      <c r="D945" t="s">
        <v>12</v>
      </c>
      <c r="E945" t="s">
        <v>90</v>
      </c>
      <c r="F945">
        <v>4</v>
      </c>
      <c r="G945">
        <v>1127.33</v>
      </c>
      <c r="H945">
        <v>4509.32</v>
      </c>
      <c r="I945">
        <v>4.0999999999999996</v>
      </c>
    </row>
    <row r="946" spans="1:9" x14ac:dyDescent="0.35">
      <c r="A946" t="s">
        <v>1301</v>
      </c>
      <c r="B946" t="s">
        <v>514</v>
      </c>
      <c r="C946" t="s">
        <v>38</v>
      </c>
      <c r="D946" t="s">
        <v>24</v>
      </c>
      <c r="E946" t="s">
        <v>25</v>
      </c>
      <c r="F946">
        <v>8</v>
      </c>
      <c r="G946">
        <v>1398.03</v>
      </c>
      <c r="H946">
        <v>11184.24</v>
      </c>
      <c r="I946">
        <v>3.6</v>
      </c>
    </row>
    <row r="947" spans="1:9" x14ac:dyDescent="0.35">
      <c r="A947" t="s">
        <v>1302</v>
      </c>
      <c r="B947" t="s">
        <v>438</v>
      </c>
      <c r="C947" t="s">
        <v>16</v>
      </c>
      <c r="D947" t="s">
        <v>12</v>
      </c>
      <c r="E947" t="s">
        <v>17</v>
      </c>
      <c r="F947">
        <v>17</v>
      </c>
      <c r="G947">
        <v>718.76</v>
      </c>
      <c r="H947">
        <v>12218.92</v>
      </c>
      <c r="I947">
        <v>4.5999999999999996</v>
      </c>
    </row>
    <row r="948" spans="1:9" x14ac:dyDescent="0.35">
      <c r="A948" t="s">
        <v>1303</v>
      </c>
      <c r="B948" t="s">
        <v>912</v>
      </c>
      <c r="C948" t="s">
        <v>38</v>
      </c>
      <c r="D948" t="s">
        <v>19</v>
      </c>
      <c r="E948" t="s">
        <v>28</v>
      </c>
      <c r="F948">
        <v>23</v>
      </c>
      <c r="G948">
        <v>642.02</v>
      </c>
      <c r="H948">
        <v>14766.46</v>
      </c>
      <c r="I948">
        <v>4</v>
      </c>
    </row>
    <row r="949" spans="1:9" x14ac:dyDescent="0.35">
      <c r="A949" t="s">
        <v>1304</v>
      </c>
      <c r="B949" t="s">
        <v>385</v>
      </c>
      <c r="C949" t="s">
        <v>23</v>
      </c>
      <c r="D949" t="s">
        <v>12</v>
      </c>
      <c r="E949" t="s">
        <v>13</v>
      </c>
      <c r="F949">
        <v>11</v>
      </c>
      <c r="G949">
        <v>663.45</v>
      </c>
      <c r="H949">
        <v>7297.95</v>
      </c>
      <c r="I949">
        <v>4.8</v>
      </c>
    </row>
    <row r="950" spans="1:9" x14ac:dyDescent="0.35">
      <c r="A950" t="s">
        <v>1305</v>
      </c>
      <c r="B950" t="s">
        <v>869</v>
      </c>
      <c r="C950" t="s">
        <v>16</v>
      </c>
      <c r="D950" t="s">
        <v>12</v>
      </c>
      <c r="E950" t="s">
        <v>17</v>
      </c>
      <c r="F950">
        <v>12</v>
      </c>
      <c r="G950">
        <v>959.52</v>
      </c>
      <c r="H950">
        <v>11514.24</v>
      </c>
      <c r="I950">
        <v>4</v>
      </c>
    </row>
    <row r="951" spans="1:9" x14ac:dyDescent="0.35">
      <c r="A951" t="s">
        <v>1306</v>
      </c>
      <c r="B951" t="s">
        <v>430</v>
      </c>
      <c r="C951" t="s">
        <v>23</v>
      </c>
      <c r="D951" t="s">
        <v>24</v>
      </c>
      <c r="E951" t="s">
        <v>69</v>
      </c>
      <c r="F951">
        <v>13</v>
      </c>
      <c r="G951">
        <v>700.29</v>
      </c>
      <c r="H951">
        <v>9103.77</v>
      </c>
      <c r="I951">
        <v>3.6</v>
      </c>
    </row>
    <row r="952" spans="1:9" x14ac:dyDescent="0.35">
      <c r="A952" t="s">
        <v>1307</v>
      </c>
      <c r="B952" t="s">
        <v>264</v>
      </c>
      <c r="C952" t="s">
        <v>11</v>
      </c>
      <c r="D952" t="s">
        <v>19</v>
      </c>
      <c r="E952" t="s">
        <v>28</v>
      </c>
      <c r="F952">
        <v>20</v>
      </c>
      <c r="G952">
        <v>735.91</v>
      </c>
      <c r="H952">
        <v>14718.2</v>
      </c>
      <c r="I952">
        <v>3.9</v>
      </c>
    </row>
    <row r="953" spans="1:9" x14ac:dyDescent="0.35">
      <c r="A953" t="s">
        <v>1308</v>
      </c>
      <c r="B953" t="s">
        <v>668</v>
      </c>
      <c r="C953" t="s">
        <v>11</v>
      </c>
      <c r="D953" t="s">
        <v>19</v>
      </c>
      <c r="E953" t="s">
        <v>20</v>
      </c>
      <c r="F953">
        <v>5</v>
      </c>
      <c r="G953">
        <v>392.76</v>
      </c>
      <c r="H953">
        <v>1963.8</v>
      </c>
      <c r="I953">
        <v>4.2</v>
      </c>
    </row>
    <row r="954" spans="1:9" x14ac:dyDescent="0.35">
      <c r="A954" t="s">
        <v>1309</v>
      </c>
      <c r="B954" t="s">
        <v>1150</v>
      </c>
      <c r="C954" t="s">
        <v>38</v>
      </c>
      <c r="D954" t="s">
        <v>12</v>
      </c>
      <c r="E954" t="s">
        <v>90</v>
      </c>
      <c r="F954">
        <v>11</v>
      </c>
      <c r="G954">
        <v>5.28</v>
      </c>
      <c r="H954">
        <v>58.08</v>
      </c>
      <c r="I954">
        <v>4.7</v>
      </c>
    </row>
    <row r="955" spans="1:9" x14ac:dyDescent="0.35">
      <c r="A955" t="s">
        <v>1310</v>
      </c>
      <c r="B955" t="s">
        <v>126</v>
      </c>
      <c r="C955" t="s">
        <v>16</v>
      </c>
      <c r="D955" t="s">
        <v>19</v>
      </c>
      <c r="E955" t="s">
        <v>20</v>
      </c>
      <c r="F955">
        <v>2</v>
      </c>
      <c r="G955">
        <v>1470.33</v>
      </c>
      <c r="H955">
        <v>2940.66</v>
      </c>
      <c r="I955">
        <v>4</v>
      </c>
    </row>
    <row r="956" spans="1:9" x14ac:dyDescent="0.35">
      <c r="A956" t="s">
        <v>1311</v>
      </c>
      <c r="B956" t="s">
        <v>333</v>
      </c>
      <c r="C956" t="s">
        <v>38</v>
      </c>
      <c r="D956" t="s">
        <v>24</v>
      </c>
      <c r="E956" t="s">
        <v>25</v>
      </c>
      <c r="F956">
        <v>6</v>
      </c>
      <c r="G956">
        <v>625.21</v>
      </c>
      <c r="H956">
        <v>3751.26</v>
      </c>
      <c r="I956">
        <v>3.5</v>
      </c>
    </row>
    <row r="957" spans="1:9" x14ac:dyDescent="0.35">
      <c r="A957" t="s">
        <v>1312</v>
      </c>
      <c r="B957" t="s">
        <v>434</v>
      </c>
      <c r="C957" t="s">
        <v>38</v>
      </c>
      <c r="D957" t="s">
        <v>24</v>
      </c>
      <c r="E957" t="s">
        <v>25</v>
      </c>
      <c r="F957">
        <v>16</v>
      </c>
      <c r="G957">
        <v>876.89</v>
      </c>
      <c r="H957">
        <v>14030.24</v>
      </c>
      <c r="I957">
        <v>4.3</v>
      </c>
    </row>
    <row r="958" spans="1:9" x14ac:dyDescent="0.35">
      <c r="A958" t="s">
        <v>1313</v>
      </c>
      <c r="B958" t="s">
        <v>964</v>
      </c>
      <c r="C958" t="s">
        <v>11</v>
      </c>
      <c r="D958" t="s">
        <v>24</v>
      </c>
      <c r="E958" t="s">
        <v>69</v>
      </c>
      <c r="F958">
        <v>9</v>
      </c>
      <c r="G958">
        <v>1263.3800000000001</v>
      </c>
      <c r="H958">
        <v>11370.42</v>
      </c>
      <c r="I958">
        <v>4.3</v>
      </c>
    </row>
    <row r="959" spans="1:9" x14ac:dyDescent="0.35">
      <c r="A959" t="s">
        <v>1314</v>
      </c>
      <c r="B959" t="s">
        <v>184</v>
      </c>
      <c r="C959" t="s">
        <v>23</v>
      </c>
      <c r="D959" t="s">
        <v>19</v>
      </c>
      <c r="E959" t="s">
        <v>20</v>
      </c>
      <c r="F959">
        <v>15</v>
      </c>
      <c r="G959">
        <v>95.43</v>
      </c>
      <c r="H959">
        <v>1431.45</v>
      </c>
      <c r="I959">
        <v>3.7</v>
      </c>
    </row>
    <row r="960" spans="1:9" x14ac:dyDescent="0.35">
      <c r="A960" t="s">
        <v>1315</v>
      </c>
      <c r="B960" t="s">
        <v>958</v>
      </c>
      <c r="C960" t="s">
        <v>11</v>
      </c>
      <c r="D960" t="s">
        <v>19</v>
      </c>
      <c r="E960" t="s">
        <v>31</v>
      </c>
      <c r="F960">
        <v>12</v>
      </c>
      <c r="G960">
        <v>138.88</v>
      </c>
      <c r="H960">
        <v>1666.56</v>
      </c>
      <c r="I960">
        <v>5</v>
      </c>
    </row>
    <row r="961" spans="1:9" x14ac:dyDescent="0.35">
      <c r="A961" t="s">
        <v>1316</v>
      </c>
      <c r="B961" t="s">
        <v>315</v>
      </c>
      <c r="C961" t="s">
        <v>23</v>
      </c>
      <c r="D961" t="s">
        <v>19</v>
      </c>
      <c r="E961" t="s">
        <v>20</v>
      </c>
      <c r="F961">
        <v>22</v>
      </c>
      <c r="G961">
        <v>950.08</v>
      </c>
      <c r="H961">
        <v>20901.759999999998</v>
      </c>
      <c r="I961">
        <v>3.6</v>
      </c>
    </row>
    <row r="962" spans="1:9" x14ac:dyDescent="0.35">
      <c r="A962" t="s">
        <v>1317</v>
      </c>
      <c r="B962" t="s">
        <v>1318</v>
      </c>
      <c r="C962" t="s">
        <v>11</v>
      </c>
      <c r="D962" t="s">
        <v>12</v>
      </c>
      <c r="E962" t="s">
        <v>17</v>
      </c>
      <c r="F962">
        <v>20</v>
      </c>
      <c r="G962">
        <v>862.44</v>
      </c>
      <c r="H962">
        <v>17248.8</v>
      </c>
      <c r="I962">
        <v>4.0999999999999996</v>
      </c>
    </row>
    <row r="963" spans="1:9" x14ac:dyDescent="0.35">
      <c r="A963" t="s">
        <v>1319</v>
      </c>
      <c r="B963" t="s">
        <v>699</v>
      </c>
      <c r="C963" t="s">
        <v>11</v>
      </c>
      <c r="D963" t="s">
        <v>12</v>
      </c>
      <c r="E963" t="s">
        <v>13</v>
      </c>
      <c r="F963">
        <v>22</v>
      </c>
      <c r="G963">
        <v>352.63</v>
      </c>
      <c r="H963">
        <v>7757.86</v>
      </c>
      <c r="I963">
        <v>3.5</v>
      </c>
    </row>
    <row r="964" spans="1:9" x14ac:dyDescent="0.35">
      <c r="A964" t="s">
        <v>1320</v>
      </c>
      <c r="B964" t="s">
        <v>508</v>
      </c>
      <c r="C964" t="s">
        <v>38</v>
      </c>
      <c r="D964" t="s">
        <v>24</v>
      </c>
      <c r="E964" t="s">
        <v>69</v>
      </c>
      <c r="F964">
        <v>17</v>
      </c>
      <c r="G964">
        <v>987.78</v>
      </c>
      <c r="H964">
        <v>16792.259999999998</v>
      </c>
      <c r="I964">
        <v>4.9000000000000004</v>
      </c>
    </row>
    <row r="965" spans="1:9" x14ac:dyDescent="0.35">
      <c r="A965" t="s">
        <v>1321</v>
      </c>
      <c r="B965" t="s">
        <v>916</v>
      </c>
      <c r="C965" t="s">
        <v>23</v>
      </c>
      <c r="D965" t="s">
        <v>19</v>
      </c>
      <c r="E965" t="s">
        <v>31</v>
      </c>
      <c r="F965">
        <v>22</v>
      </c>
      <c r="G965">
        <v>816.72</v>
      </c>
      <c r="H965">
        <v>17967.84</v>
      </c>
      <c r="I965">
        <v>3.6</v>
      </c>
    </row>
    <row r="966" spans="1:9" x14ac:dyDescent="0.35">
      <c r="A966" t="s">
        <v>1322</v>
      </c>
      <c r="B966" t="s">
        <v>122</v>
      </c>
      <c r="C966" t="s">
        <v>38</v>
      </c>
      <c r="D966" t="s">
        <v>12</v>
      </c>
      <c r="E966" t="s">
        <v>17</v>
      </c>
      <c r="F966">
        <v>10</v>
      </c>
      <c r="G966">
        <v>388.49</v>
      </c>
      <c r="H966">
        <v>3884.9</v>
      </c>
      <c r="I966">
        <v>3.8</v>
      </c>
    </row>
    <row r="967" spans="1:9" x14ac:dyDescent="0.35">
      <c r="A967" t="s">
        <v>1323</v>
      </c>
      <c r="B967" t="s">
        <v>662</v>
      </c>
      <c r="C967" t="s">
        <v>16</v>
      </c>
      <c r="D967" t="s">
        <v>24</v>
      </c>
      <c r="E967" t="s">
        <v>44</v>
      </c>
      <c r="F967">
        <v>25</v>
      </c>
      <c r="G967">
        <v>149.78</v>
      </c>
      <c r="H967">
        <v>3744.5</v>
      </c>
      <c r="I967">
        <v>4.4000000000000004</v>
      </c>
    </row>
    <row r="968" spans="1:9" x14ac:dyDescent="0.35">
      <c r="A968" t="s">
        <v>1324</v>
      </c>
      <c r="B968" t="s">
        <v>381</v>
      </c>
      <c r="C968" t="s">
        <v>16</v>
      </c>
      <c r="D968" t="s">
        <v>12</v>
      </c>
      <c r="E968" t="s">
        <v>90</v>
      </c>
      <c r="F968">
        <v>15</v>
      </c>
      <c r="G968">
        <v>664.31</v>
      </c>
      <c r="H968">
        <v>9964.65</v>
      </c>
      <c r="I968">
        <v>4.5999999999999996</v>
      </c>
    </row>
    <row r="969" spans="1:9" x14ac:dyDescent="0.35">
      <c r="A969" t="s">
        <v>1325</v>
      </c>
      <c r="B969" t="s">
        <v>398</v>
      </c>
      <c r="C969" t="s">
        <v>11</v>
      </c>
      <c r="D969" t="s">
        <v>19</v>
      </c>
      <c r="E969" t="s">
        <v>28</v>
      </c>
      <c r="F969">
        <v>12</v>
      </c>
      <c r="G969">
        <v>936.99</v>
      </c>
      <c r="H969">
        <v>11243.88</v>
      </c>
      <c r="I969">
        <v>3.2</v>
      </c>
    </row>
    <row r="970" spans="1:9" x14ac:dyDescent="0.35">
      <c r="A970" t="s">
        <v>1326</v>
      </c>
      <c r="B970" t="s">
        <v>470</v>
      </c>
      <c r="C970" t="s">
        <v>16</v>
      </c>
      <c r="D970" t="s">
        <v>19</v>
      </c>
      <c r="E970" t="s">
        <v>20</v>
      </c>
      <c r="F970">
        <v>2</v>
      </c>
      <c r="G970">
        <v>1171.0899999999999</v>
      </c>
      <c r="H970">
        <v>2342.1799999999998</v>
      </c>
      <c r="I970">
        <v>4.7</v>
      </c>
    </row>
    <row r="971" spans="1:9" x14ac:dyDescent="0.35">
      <c r="A971" t="s">
        <v>1327</v>
      </c>
      <c r="B971" t="s">
        <v>78</v>
      </c>
      <c r="C971" t="s">
        <v>23</v>
      </c>
      <c r="D971" t="s">
        <v>24</v>
      </c>
      <c r="E971" t="s">
        <v>44</v>
      </c>
      <c r="F971">
        <v>18</v>
      </c>
      <c r="G971">
        <v>1484.41</v>
      </c>
      <c r="H971">
        <v>26719.38</v>
      </c>
      <c r="I971">
        <v>4.0999999999999996</v>
      </c>
    </row>
    <row r="972" spans="1:9" x14ac:dyDescent="0.35">
      <c r="A972" t="s">
        <v>1328</v>
      </c>
      <c r="B972" t="s">
        <v>1329</v>
      </c>
      <c r="C972" t="s">
        <v>11</v>
      </c>
      <c r="D972" t="s">
        <v>19</v>
      </c>
      <c r="E972" t="s">
        <v>20</v>
      </c>
      <c r="F972">
        <v>4</v>
      </c>
      <c r="G972">
        <v>908.41</v>
      </c>
      <c r="H972">
        <v>3633.64</v>
      </c>
      <c r="I972">
        <v>3.5</v>
      </c>
    </row>
    <row r="973" spans="1:9" x14ac:dyDescent="0.35">
      <c r="A973" t="s">
        <v>1330</v>
      </c>
      <c r="B973" t="s">
        <v>27</v>
      </c>
      <c r="C973" t="s">
        <v>16</v>
      </c>
      <c r="D973" t="s">
        <v>19</v>
      </c>
      <c r="E973" t="s">
        <v>28</v>
      </c>
      <c r="F973">
        <v>13</v>
      </c>
      <c r="G973">
        <v>137.04</v>
      </c>
      <c r="H973">
        <v>1781.52</v>
      </c>
      <c r="I973">
        <v>3.5</v>
      </c>
    </row>
    <row r="974" spans="1:9" x14ac:dyDescent="0.35">
      <c r="A974" t="s">
        <v>1331</v>
      </c>
      <c r="B974" t="s">
        <v>385</v>
      </c>
      <c r="C974" t="s">
        <v>38</v>
      </c>
      <c r="D974" t="s">
        <v>19</v>
      </c>
      <c r="E974" t="s">
        <v>31</v>
      </c>
      <c r="F974">
        <v>6</v>
      </c>
      <c r="G974">
        <v>1256.28</v>
      </c>
      <c r="H974">
        <v>7537.68</v>
      </c>
      <c r="I974">
        <v>4.0999999999999996</v>
      </c>
    </row>
    <row r="975" spans="1:9" x14ac:dyDescent="0.35">
      <c r="A975" t="s">
        <v>1332</v>
      </c>
      <c r="B975" t="s">
        <v>436</v>
      </c>
      <c r="C975" t="s">
        <v>38</v>
      </c>
      <c r="D975" t="s">
        <v>19</v>
      </c>
      <c r="E975" t="s">
        <v>28</v>
      </c>
      <c r="F975">
        <v>11</v>
      </c>
      <c r="G975">
        <v>751.7</v>
      </c>
      <c r="H975">
        <v>8268.7000000000007</v>
      </c>
      <c r="I975">
        <v>4.5999999999999996</v>
      </c>
    </row>
    <row r="976" spans="1:9" x14ac:dyDescent="0.35">
      <c r="A976" t="s">
        <v>1333</v>
      </c>
      <c r="B976" t="s">
        <v>177</v>
      </c>
      <c r="C976" t="s">
        <v>11</v>
      </c>
      <c r="D976" t="s">
        <v>24</v>
      </c>
      <c r="E976" t="s">
        <v>44</v>
      </c>
      <c r="F976">
        <v>15</v>
      </c>
      <c r="G976">
        <v>200.29</v>
      </c>
      <c r="H976">
        <v>3004.35</v>
      </c>
      <c r="I976">
        <v>3.3</v>
      </c>
    </row>
    <row r="977" spans="1:9" x14ac:dyDescent="0.35">
      <c r="A977" t="s">
        <v>1334</v>
      </c>
      <c r="B977" t="s">
        <v>78</v>
      </c>
      <c r="C977" t="s">
        <v>23</v>
      </c>
      <c r="D977" t="s">
        <v>12</v>
      </c>
      <c r="E977" t="s">
        <v>13</v>
      </c>
      <c r="F977">
        <v>16</v>
      </c>
      <c r="G977">
        <v>486.8</v>
      </c>
      <c r="H977">
        <v>7788.8</v>
      </c>
      <c r="I977">
        <v>3.1</v>
      </c>
    </row>
    <row r="978" spans="1:9" x14ac:dyDescent="0.35">
      <c r="A978" t="s">
        <v>1335</v>
      </c>
      <c r="B978" t="s">
        <v>1336</v>
      </c>
      <c r="C978" t="s">
        <v>38</v>
      </c>
      <c r="D978" t="s">
        <v>12</v>
      </c>
      <c r="E978" t="s">
        <v>17</v>
      </c>
      <c r="F978">
        <v>25</v>
      </c>
      <c r="G978">
        <v>151.25</v>
      </c>
      <c r="H978">
        <v>3781.25</v>
      </c>
      <c r="I978">
        <v>3.5</v>
      </c>
    </row>
    <row r="979" spans="1:9" x14ac:dyDescent="0.35">
      <c r="A979" t="s">
        <v>1337</v>
      </c>
      <c r="B979" t="s">
        <v>825</v>
      </c>
      <c r="C979" t="s">
        <v>16</v>
      </c>
      <c r="D979" t="s">
        <v>19</v>
      </c>
      <c r="E979" t="s">
        <v>31</v>
      </c>
      <c r="F979">
        <v>25</v>
      </c>
      <c r="G979">
        <v>522.89</v>
      </c>
      <c r="H979">
        <v>13072.25</v>
      </c>
      <c r="I979">
        <v>4</v>
      </c>
    </row>
    <row r="980" spans="1:9" x14ac:dyDescent="0.35">
      <c r="A980" t="s">
        <v>1338</v>
      </c>
      <c r="B980" t="s">
        <v>159</v>
      </c>
      <c r="C980" t="s">
        <v>11</v>
      </c>
      <c r="D980" t="s">
        <v>19</v>
      </c>
      <c r="E980" t="s">
        <v>20</v>
      </c>
      <c r="F980">
        <v>1</v>
      </c>
      <c r="G980">
        <v>431.08</v>
      </c>
      <c r="H980">
        <v>431.08</v>
      </c>
      <c r="I980">
        <v>4.2</v>
      </c>
    </row>
    <row r="981" spans="1:9" x14ac:dyDescent="0.35">
      <c r="A981" t="s">
        <v>1339</v>
      </c>
      <c r="B981" t="s">
        <v>482</v>
      </c>
      <c r="C981" t="s">
        <v>38</v>
      </c>
      <c r="D981" t="s">
        <v>19</v>
      </c>
      <c r="E981" t="s">
        <v>20</v>
      </c>
      <c r="F981">
        <v>12</v>
      </c>
      <c r="G981">
        <v>541.58000000000004</v>
      </c>
      <c r="H981">
        <v>6498.96</v>
      </c>
      <c r="I981">
        <v>4.2</v>
      </c>
    </row>
    <row r="982" spans="1:9" x14ac:dyDescent="0.35">
      <c r="A982" t="s">
        <v>1340</v>
      </c>
      <c r="B982" t="s">
        <v>964</v>
      </c>
      <c r="C982" t="s">
        <v>11</v>
      </c>
      <c r="D982" t="s">
        <v>24</v>
      </c>
      <c r="E982" t="s">
        <v>44</v>
      </c>
      <c r="F982">
        <v>12</v>
      </c>
      <c r="G982">
        <v>102.78</v>
      </c>
      <c r="H982">
        <v>1233.3599999999999</v>
      </c>
      <c r="I982">
        <v>3.4</v>
      </c>
    </row>
    <row r="983" spans="1:9" x14ac:dyDescent="0.35">
      <c r="A983" t="s">
        <v>1341</v>
      </c>
      <c r="B983" t="s">
        <v>1318</v>
      </c>
      <c r="C983" t="s">
        <v>16</v>
      </c>
      <c r="D983" t="s">
        <v>19</v>
      </c>
      <c r="E983" t="s">
        <v>20</v>
      </c>
      <c r="F983">
        <v>19</v>
      </c>
      <c r="G983">
        <v>1326.24</v>
      </c>
      <c r="H983">
        <v>25198.560000000001</v>
      </c>
      <c r="I983">
        <v>4.5</v>
      </c>
    </row>
    <row r="984" spans="1:9" x14ac:dyDescent="0.35">
      <c r="A984" t="s">
        <v>1342</v>
      </c>
      <c r="B984" t="s">
        <v>626</v>
      </c>
      <c r="C984" t="s">
        <v>23</v>
      </c>
      <c r="D984" t="s">
        <v>19</v>
      </c>
      <c r="E984" t="s">
        <v>20</v>
      </c>
      <c r="F984">
        <v>24</v>
      </c>
      <c r="G984">
        <v>347.91</v>
      </c>
      <c r="H984">
        <v>8349.84</v>
      </c>
      <c r="I984">
        <v>4.8</v>
      </c>
    </row>
    <row r="985" spans="1:9" x14ac:dyDescent="0.35">
      <c r="A985" t="s">
        <v>1343</v>
      </c>
      <c r="B985" t="s">
        <v>574</v>
      </c>
      <c r="C985" t="s">
        <v>38</v>
      </c>
      <c r="D985" t="s">
        <v>19</v>
      </c>
      <c r="E985" t="s">
        <v>28</v>
      </c>
      <c r="F985">
        <v>7</v>
      </c>
      <c r="G985">
        <v>994.82</v>
      </c>
      <c r="H985">
        <v>6963.74</v>
      </c>
      <c r="I985">
        <v>4.3</v>
      </c>
    </row>
    <row r="986" spans="1:9" x14ac:dyDescent="0.35">
      <c r="A986" t="s">
        <v>1344</v>
      </c>
      <c r="B986" t="s">
        <v>68</v>
      </c>
      <c r="C986" t="s">
        <v>11</v>
      </c>
      <c r="D986" t="s">
        <v>19</v>
      </c>
      <c r="E986" t="s">
        <v>20</v>
      </c>
      <c r="F986">
        <v>15</v>
      </c>
      <c r="G986">
        <v>378.94</v>
      </c>
      <c r="H986">
        <v>5684.1</v>
      </c>
      <c r="I986">
        <v>3.3</v>
      </c>
    </row>
    <row r="987" spans="1:9" x14ac:dyDescent="0.35">
      <c r="A987" t="s">
        <v>1345</v>
      </c>
      <c r="B987" t="s">
        <v>149</v>
      </c>
      <c r="C987" t="s">
        <v>16</v>
      </c>
      <c r="D987" t="s">
        <v>24</v>
      </c>
      <c r="E987" t="s">
        <v>25</v>
      </c>
      <c r="F987">
        <v>20</v>
      </c>
      <c r="G987">
        <v>1311.41</v>
      </c>
      <c r="H987">
        <v>26228.2</v>
      </c>
      <c r="I987">
        <v>4.8</v>
      </c>
    </row>
    <row r="988" spans="1:9" x14ac:dyDescent="0.35">
      <c r="A988" t="s">
        <v>1346</v>
      </c>
      <c r="B988" t="s">
        <v>398</v>
      </c>
      <c r="C988" t="s">
        <v>38</v>
      </c>
      <c r="D988" t="s">
        <v>24</v>
      </c>
      <c r="E988" t="s">
        <v>25</v>
      </c>
      <c r="F988">
        <v>12</v>
      </c>
      <c r="G988">
        <v>626.69000000000005</v>
      </c>
      <c r="H988">
        <v>7520.28</v>
      </c>
      <c r="I988">
        <v>4.4000000000000004</v>
      </c>
    </row>
    <row r="989" spans="1:9" x14ac:dyDescent="0.35">
      <c r="A989" t="s">
        <v>1347</v>
      </c>
      <c r="B989" t="s">
        <v>1137</v>
      </c>
      <c r="C989" t="s">
        <v>23</v>
      </c>
      <c r="D989" t="s">
        <v>24</v>
      </c>
      <c r="E989" t="s">
        <v>25</v>
      </c>
      <c r="F989">
        <v>19</v>
      </c>
      <c r="G989">
        <v>214.93</v>
      </c>
      <c r="H989">
        <v>4083.67</v>
      </c>
      <c r="I989">
        <v>3.2</v>
      </c>
    </row>
    <row r="990" spans="1:9" x14ac:dyDescent="0.35">
      <c r="A990" t="s">
        <v>1348</v>
      </c>
      <c r="B990" t="s">
        <v>633</v>
      </c>
      <c r="C990" t="s">
        <v>38</v>
      </c>
      <c r="D990" t="s">
        <v>19</v>
      </c>
      <c r="E990" t="s">
        <v>28</v>
      </c>
      <c r="F990">
        <v>21</v>
      </c>
      <c r="G990">
        <v>1341.22</v>
      </c>
      <c r="H990">
        <v>28165.62</v>
      </c>
      <c r="I990">
        <v>4.5</v>
      </c>
    </row>
    <row r="991" spans="1:9" x14ac:dyDescent="0.35">
      <c r="A991" t="s">
        <v>1349</v>
      </c>
      <c r="B991" t="s">
        <v>758</v>
      </c>
      <c r="C991" t="s">
        <v>16</v>
      </c>
      <c r="D991" t="s">
        <v>24</v>
      </c>
      <c r="E991" t="s">
        <v>44</v>
      </c>
      <c r="F991">
        <v>23</v>
      </c>
      <c r="G991">
        <v>120.43</v>
      </c>
      <c r="H991">
        <v>2769.89</v>
      </c>
      <c r="I991">
        <v>4.0999999999999996</v>
      </c>
    </row>
    <row r="992" spans="1:9" x14ac:dyDescent="0.35">
      <c r="A992" t="s">
        <v>1350</v>
      </c>
      <c r="B992" t="s">
        <v>776</v>
      </c>
      <c r="C992" t="s">
        <v>38</v>
      </c>
      <c r="D992" t="s">
        <v>24</v>
      </c>
      <c r="E992" t="s">
        <v>44</v>
      </c>
      <c r="F992">
        <v>18</v>
      </c>
      <c r="G992">
        <v>1455.27</v>
      </c>
      <c r="H992">
        <v>26194.86</v>
      </c>
      <c r="I992">
        <v>3.9</v>
      </c>
    </row>
    <row r="993" spans="1:9" x14ac:dyDescent="0.35">
      <c r="A993" t="s">
        <v>1351</v>
      </c>
      <c r="B993" t="s">
        <v>62</v>
      </c>
      <c r="C993" t="s">
        <v>23</v>
      </c>
      <c r="D993" t="s">
        <v>24</v>
      </c>
      <c r="E993" t="s">
        <v>25</v>
      </c>
      <c r="F993">
        <v>10</v>
      </c>
      <c r="G993">
        <v>1461.18</v>
      </c>
      <c r="H993">
        <v>14611.8</v>
      </c>
      <c r="I993">
        <v>4</v>
      </c>
    </row>
    <row r="994" spans="1:9" x14ac:dyDescent="0.35">
      <c r="A994" t="s">
        <v>1352</v>
      </c>
      <c r="B994" t="s">
        <v>523</v>
      </c>
      <c r="C994" t="s">
        <v>38</v>
      </c>
      <c r="D994" t="s">
        <v>12</v>
      </c>
      <c r="E994" t="s">
        <v>17</v>
      </c>
      <c r="F994">
        <v>1</v>
      </c>
      <c r="G994">
        <v>983.69</v>
      </c>
      <c r="H994">
        <v>983.69</v>
      </c>
      <c r="I994">
        <v>3.8</v>
      </c>
    </row>
    <row r="995" spans="1:9" x14ac:dyDescent="0.35">
      <c r="A995" t="s">
        <v>1353</v>
      </c>
      <c r="B995" t="s">
        <v>1354</v>
      </c>
      <c r="C995" t="s">
        <v>23</v>
      </c>
      <c r="D995" t="s">
        <v>12</v>
      </c>
      <c r="E995" t="s">
        <v>17</v>
      </c>
      <c r="F995">
        <v>7</v>
      </c>
      <c r="G995">
        <v>362.53</v>
      </c>
      <c r="H995">
        <v>2537.71</v>
      </c>
      <c r="I995">
        <v>4.8</v>
      </c>
    </row>
    <row r="996" spans="1:9" x14ac:dyDescent="0.35">
      <c r="A996" t="s">
        <v>1355</v>
      </c>
      <c r="B996" t="s">
        <v>1002</v>
      </c>
      <c r="C996" t="s">
        <v>38</v>
      </c>
      <c r="D996" t="s">
        <v>12</v>
      </c>
      <c r="E996" t="s">
        <v>13</v>
      </c>
      <c r="F996">
        <v>3</v>
      </c>
      <c r="G996">
        <v>500.72</v>
      </c>
      <c r="H996">
        <v>1502.16</v>
      </c>
      <c r="I996">
        <v>4</v>
      </c>
    </row>
    <row r="997" spans="1:9" x14ac:dyDescent="0.35">
      <c r="A997" t="s">
        <v>1356</v>
      </c>
      <c r="B997" t="s">
        <v>922</v>
      </c>
      <c r="C997" t="s">
        <v>11</v>
      </c>
      <c r="D997" t="s">
        <v>24</v>
      </c>
      <c r="E997" t="s">
        <v>25</v>
      </c>
      <c r="F997">
        <v>21</v>
      </c>
      <c r="G997">
        <v>1451.11</v>
      </c>
      <c r="H997">
        <v>30473.31</v>
      </c>
      <c r="I997">
        <v>3.6</v>
      </c>
    </row>
    <row r="998" spans="1:9" x14ac:dyDescent="0.35">
      <c r="A998" t="s">
        <v>1357</v>
      </c>
      <c r="B998" t="s">
        <v>310</v>
      </c>
      <c r="C998" t="s">
        <v>23</v>
      </c>
      <c r="D998" t="s">
        <v>19</v>
      </c>
      <c r="E998" t="s">
        <v>28</v>
      </c>
      <c r="F998">
        <v>16</v>
      </c>
      <c r="G998">
        <v>1019.77</v>
      </c>
      <c r="H998">
        <v>16316.32</v>
      </c>
      <c r="I998">
        <v>4.8</v>
      </c>
    </row>
    <row r="999" spans="1:9" x14ac:dyDescent="0.35">
      <c r="A999" t="s">
        <v>1358</v>
      </c>
      <c r="B999" t="s">
        <v>101</v>
      </c>
      <c r="C999" t="s">
        <v>16</v>
      </c>
      <c r="D999" t="s">
        <v>24</v>
      </c>
      <c r="E999" t="s">
        <v>44</v>
      </c>
      <c r="F999">
        <v>17</v>
      </c>
      <c r="G999">
        <v>142.94999999999999</v>
      </c>
      <c r="H999">
        <v>2430.15</v>
      </c>
      <c r="I999">
        <v>4.5</v>
      </c>
    </row>
    <row r="1000" spans="1:9" x14ac:dyDescent="0.35">
      <c r="A1000" t="s">
        <v>1359</v>
      </c>
      <c r="B1000" t="s">
        <v>1360</v>
      </c>
      <c r="C1000" t="s">
        <v>16</v>
      </c>
      <c r="D1000" t="s">
        <v>19</v>
      </c>
      <c r="E1000" t="s">
        <v>31</v>
      </c>
      <c r="F1000">
        <v>5</v>
      </c>
      <c r="G1000">
        <v>805.81</v>
      </c>
      <c r="H1000">
        <v>4029.05</v>
      </c>
      <c r="I1000">
        <v>4.2</v>
      </c>
    </row>
    <row r="1001" spans="1:9" x14ac:dyDescent="0.35">
      <c r="A1001" t="s">
        <v>1361</v>
      </c>
      <c r="B1001" t="s">
        <v>153</v>
      </c>
      <c r="C1001" t="s">
        <v>38</v>
      </c>
      <c r="D1001" t="s">
        <v>19</v>
      </c>
      <c r="E1001" t="s">
        <v>31</v>
      </c>
      <c r="F1001">
        <v>20</v>
      </c>
      <c r="G1001">
        <v>78.88</v>
      </c>
      <c r="H1001">
        <v>1577.6</v>
      </c>
      <c r="I1001">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vt:lpstr>
      <vt:lpstr>Dashboard</vt:lpstr>
      <vt:lpstr>Executive_Summary</vt:lpstr>
      <vt:lpstr>Raw Data Backup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Sidra Noor</cp:lastModifiedBy>
  <dcterms:created xsi:type="dcterms:W3CDTF">2026-06-11T03:09:39Z</dcterms:created>
  <dcterms:modified xsi:type="dcterms:W3CDTF">2026-08-19T09:12:57Z</dcterms:modified>
</cp:coreProperties>
</file>